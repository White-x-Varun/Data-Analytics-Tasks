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ISHDIWAKAR\Desktop\Invertis_MCA\IIot\"/>
    </mc:Choice>
  </mc:AlternateContent>
  <xr:revisionPtr revIDLastSave="0" documentId="8_{CD37EB15-9587-4143-B32B-6234447120E3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alesData" sheetId="1" r:id="rId1"/>
    <sheet name="Sorted View" sheetId="2" r:id="rId2"/>
    <sheet name="Corporate North West" sheetId="3" r:id="rId3"/>
    <sheet name="Lookup" sheetId="4" r:id="rId4"/>
    <sheet name="Functions Summary" sheetId="5" r:id="rId5"/>
    <sheet name="Pivot Tables" sheetId="6" r:id="rId6"/>
  </sheets>
  <definedNames>
    <definedName name="_xlnm._FilterDatabase" localSheetId="2" hidden="1">'Corporate North West'!$A$1:$U$5</definedName>
    <definedName name="_xlnm._FilterDatabase" localSheetId="1" hidden="1">'Sorted View'!$A$1:$U$21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R6" i="1" s="1"/>
  <c r="Q7" i="1"/>
  <c r="Q8" i="1"/>
  <c r="Q9" i="1"/>
  <c r="Q10" i="1"/>
  <c r="R10" i="1" s="1"/>
  <c r="Q11" i="1"/>
  <c r="Q12" i="1"/>
  <c r="Q13" i="1"/>
  <c r="Q14" i="1"/>
  <c r="R14" i="1" s="1"/>
  <c r="Q15" i="1"/>
  <c r="Q16" i="1"/>
  <c r="Q17" i="1"/>
  <c r="Q18" i="1"/>
  <c r="R18" i="1" s="1"/>
  <c r="Q19" i="1"/>
  <c r="Q20" i="1"/>
  <c r="Q21" i="1"/>
  <c r="Q2" i="1"/>
  <c r="F2" i="4"/>
  <c r="B12" i="5"/>
  <c r="B9" i="5"/>
  <c r="B8" i="5"/>
  <c r="B7" i="5"/>
  <c r="B6" i="5"/>
  <c r="B5" i="5"/>
  <c r="B4" i="5"/>
  <c r="B2" i="5"/>
  <c r="F5" i="4"/>
  <c r="U21" i="1"/>
  <c r="T21" i="1"/>
  <c r="S21" i="1"/>
  <c r="R21" i="1"/>
  <c r="P21" i="1"/>
  <c r="O21" i="1"/>
  <c r="K21" i="1"/>
  <c r="L21" i="1" s="1"/>
  <c r="N21" i="1" s="1"/>
  <c r="U20" i="1"/>
  <c r="T20" i="1"/>
  <c r="S20" i="1"/>
  <c r="R20" i="1"/>
  <c r="P20" i="1"/>
  <c r="O20" i="1"/>
  <c r="K20" i="1"/>
  <c r="L20" i="1" s="1"/>
  <c r="U19" i="1"/>
  <c r="T19" i="1"/>
  <c r="S19" i="1"/>
  <c r="R19" i="1"/>
  <c r="P19" i="1"/>
  <c r="O19" i="1"/>
  <c r="K19" i="1"/>
  <c r="L19" i="1" s="1"/>
  <c r="U18" i="1"/>
  <c r="T18" i="1"/>
  <c r="S18" i="1"/>
  <c r="P18" i="1"/>
  <c r="O18" i="1"/>
  <c r="K18" i="1"/>
  <c r="L18" i="1" s="1"/>
  <c r="N18" i="1" s="1"/>
  <c r="U17" i="1"/>
  <c r="T17" i="1"/>
  <c r="S17" i="1"/>
  <c r="R17" i="1"/>
  <c r="P17" i="1"/>
  <c r="O17" i="1"/>
  <c r="K17" i="1"/>
  <c r="L17" i="1" s="1"/>
  <c r="N17" i="1" s="1"/>
  <c r="U16" i="1"/>
  <c r="T16" i="1"/>
  <c r="S16" i="1"/>
  <c r="R16" i="1"/>
  <c r="P16" i="1"/>
  <c r="O16" i="1"/>
  <c r="K16" i="1"/>
  <c r="L16" i="1" s="1"/>
  <c r="U15" i="1"/>
  <c r="T15" i="1"/>
  <c r="S15" i="1"/>
  <c r="R15" i="1"/>
  <c r="P15" i="1"/>
  <c r="O15" i="1"/>
  <c r="K15" i="1"/>
  <c r="L15" i="1" s="1"/>
  <c r="U14" i="1"/>
  <c r="T14" i="1"/>
  <c r="S14" i="1"/>
  <c r="P14" i="1"/>
  <c r="O14" i="1"/>
  <c r="K14" i="1"/>
  <c r="L14" i="1" s="1"/>
  <c r="U13" i="1"/>
  <c r="T13" i="1"/>
  <c r="S13" i="1"/>
  <c r="R13" i="1"/>
  <c r="P13" i="1"/>
  <c r="O13" i="1"/>
  <c r="K13" i="1"/>
  <c r="L13" i="1" s="1"/>
  <c r="N13" i="1" s="1"/>
  <c r="U12" i="1"/>
  <c r="T12" i="1"/>
  <c r="S12" i="1"/>
  <c r="R12" i="1"/>
  <c r="P12" i="1"/>
  <c r="O12" i="1"/>
  <c r="K12" i="1"/>
  <c r="L12" i="1" s="1"/>
  <c r="U11" i="1"/>
  <c r="T11" i="1"/>
  <c r="S11" i="1"/>
  <c r="R11" i="1"/>
  <c r="P11" i="1"/>
  <c r="O11" i="1"/>
  <c r="K11" i="1"/>
  <c r="L11" i="1" s="1"/>
  <c r="U10" i="1"/>
  <c r="T10" i="1"/>
  <c r="S10" i="1"/>
  <c r="P10" i="1"/>
  <c r="O10" i="1"/>
  <c r="K10" i="1"/>
  <c r="L10" i="1" s="1"/>
  <c r="U9" i="1"/>
  <c r="T9" i="1"/>
  <c r="S9" i="1"/>
  <c r="R9" i="1"/>
  <c r="P9" i="1"/>
  <c r="O9" i="1"/>
  <c r="K9" i="1"/>
  <c r="L9" i="1" s="1"/>
  <c r="N9" i="1" s="1"/>
  <c r="U8" i="1"/>
  <c r="T8" i="1"/>
  <c r="S8" i="1"/>
  <c r="R8" i="1"/>
  <c r="P8" i="1"/>
  <c r="O8" i="1"/>
  <c r="K8" i="1"/>
  <c r="L8" i="1" s="1"/>
  <c r="U7" i="1"/>
  <c r="T7" i="1"/>
  <c r="S7" i="1"/>
  <c r="R7" i="1"/>
  <c r="P7" i="1"/>
  <c r="O7" i="1"/>
  <c r="K7" i="1"/>
  <c r="L7" i="1" s="1"/>
  <c r="U6" i="1"/>
  <c r="T6" i="1"/>
  <c r="S6" i="1"/>
  <c r="P6" i="1"/>
  <c r="O6" i="1"/>
  <c r="K6" i="1"/>
  <c r="L6" i="1" s="1"/>
  <c r="U5" i="1"/>
  <c r="T5" i="1"/>
  <c r="S5" i="1"/>
  <c r="R5" i="1"/>
  <c r="P5" i="1"/>
  <c r="O5" i="1"/>
  <c r="K5" i="1"/>
  <c r="L5" i="1" s="1"/>
  <c r="N5" i="1" s="1"/>
  <c r="U4" i="1"/>
  <c r="T4" i="1"/>
  <c r="S4" i="1"/>
  <c r="R4" i="1"/>
  <c r="P4" i="1"/>
  <c r="O4" i="1"/>
  <c r="K4" i="1"/>
  <c r="L4" i="1" s="1"/>
  <c r="U3" i="1"/>
  <c r="T3" i="1"/>
  <c r="S3" i="1"/>
  <c r="R3" i="1"/>
  <c r="P3" i="1"/>
  <c r="O3" i="1"/>
  <c r="K3" i="1"/>
  <c r="L3" i="1" s="1"/>
  <c r="U2" i="1"/>
  <c r="T2" i="1"/>
  <c r="S2" i="1"/>
  <c r="R2" i="1"/>
  <c r="P2" i="1"/>
  <c r="O2" i="1"/>
  <c r="L2" i="1"/>
  <c r="M2" i="1" s="1"/>
  <c r="K2" i="1"/>
  <c r="N6" i="1" l="1"/>
  <c r="M6" i="1"/>
  <c r="N10" i="1"/>
  <c r="M10" i="1"/>
  <c r="N14" i="1"/>
  <c r="M14" i="1"/>
  <c r="M18" i="1"/>
  <c r="M11" i="1"/>
  <c r="N11" i="1"/>
  <c r="N12" i="1"/>
  <c r="M12" i="1"/>
  <c r="M15" i="1"/>
  <c r="N15" i="1"/>
  <c r="N16" i="1"/>
  <c r="M16" i="1"/>
  <c r="I6" i="6"/>
  <c r="M3" i="1"/>
  <c r="B11" i="5"/>
  <c r="N3" i="1"/>
  <c r="N4" i="1"/>
  <c r="M4" i="1"/>
  <c r="M19" i="1"/>
  <c r="N19" i="1"/>
  <c r="N20" i="1"/>
  <c r="M20" i="1"/>
  <c r="M7" i="1"/>
  <c r="N7" i="1"/>
  <c r="N8" i="1"/>
  <c r="M8" i="1"/>
  <c r="B10" i="5"/>
  <c r="N2" i="1"/>
  <c r="M5" i="1"/>
  <c r="M9" i="1"/>
  <c r="M13" i="1"/>
  <c r="M17" i="1"/>
  <c r="M21" i="1"/>
  <c r="B3" i="5"/>
</calcChain>
</file>

<file path=xl/sharedStrings.xml><?xml version="1.0" encoding="utf-8"?>
<sst xmlns="http://schemas.openxmlformats.org/spreadsheetml/2006/main" count="558" uniqueCount="100">
  <si>
    <t>Order ID</t>
  </si>
  <si>
    <t>Date</t>
  </si>
  <si>
    <t>Region</t>
  </si>
  <si>
    <t>Salesperson</t>
  </si>
  <si>
    <t>Product</t>
  </si>
  <si>
    <t>Category</t>
  </si>
  <si>
    <t>Units</t>
  </si>
  <si>
    <t>Unit Price</t>
  </si>
  <si>
    <t>Discount</t>
  </si>
  <si>
    <t>Customer Type</t>
  </si>
  <si>
    <t>Gross Sales</t>
  </si>
  <si>
    <t>Net Sales</t>
  </si>
  <si>
    <t>Rounded Net Sales</t>
  </si>
  <si>
    <t>Performance</t>
  </si>
  <si>
    <t>Order Prefix</t>
  </si>
  <si>
    <t>Month Number</t>
  </si>
  <si>
    <t>Standard Price</t>
  </si>
  <si>
    <t>Price Check</t>
  </si>
  <si>
    <t>Customer Classification</t>
  </si>
  <si>
    <t>Corporate ≥5%</t>
  </si>
  <si>
    <t>North or South</t>
  </si>
  <si>
    <t>O1001</t>
  </si>
  <si>
    <t>North</t>
  </si>
  <si>
    <t>Aarav</t>
  </si>
  <si>
    <t>Laptop</t>
  </si>
  <si>
    <t>Electronics</t>
  </si>
  <si>
    <t>Retail</t>
  </si>
  <si>
    <t>O1002</t>
  </si>
  <si>
    <t>West</t>
  </si>
  <si>
    <t>Diya</t>
  </si>
  <si>
    <t>Monitor</t>
  </si>
  <si>
    <t>Corporate</t>
  </si>
  <si>
    <t>O1003</t>
  </si>
  <si>
    <t>South</t>
  </si>
  <si>
    <t>Kabir</t>
  </si>
  <si>
    <t>Keyboard</t>
  </si>
  <si>
    <t>Accessories</t>
  </si>
  <si>
    <t>O1004</t>
  </si>
  <si>
    <t>East</t>
  </si>
  <si>
    <t>Meera</t>
  </si>
  <si>
    <t>Printer</t>
  </si>
  <si>
    <t>Office</t>
  </si>
  <si>
    <t>O1005</t>
  </si>
  <si>
    <t>Mouse</t>
  </si>
  <si>
    <t>O1006</t>
  </si>
  <si>
    <t>Riya</t>
  </si>
  <si>
    <t>O1007</t>
  </si>
  <si>
    <t>O1008</t>
  </si>
  <si>
    <t>O1009</t>
  </si>
  <si>
    <t>Zoya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</si>
  <si>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</si>
  <si>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</si>
  <si>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</si>
  <si>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</si>
  <si>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</si>
  <si>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</si>
  <si>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</si>
  <si>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</si>
  <si>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</si>
  <si>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</si>
  <si>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</si>
  <si>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High</t>
  </si>
  <si>
    <t>O10</t>
  </si>
  <si>
    <t>Above Standard</t>
  </si>
  <si>
    <t>Yes</t>
  </si>
  <si>
    <t>No</t>
  </si>
  <si>
    <t>Normal</t>
  </si>
  <si>
    <t>Within Standard</t>
  </si>
  <si>
    <t>Selected Product</t>
  </si>
  <si>
    <t>XLOOKUP Category</t>
  </si>
  <si>
    <t>VLOOKUP Category</t>
  </si>
  <si>
    <t>Metric</t>
  </si>
  <si>
    <t>Formula / Result</t>
  </si>
  <si>
    <t>Total Units Sold</t>
  </si>
  <si>
    <t>Total Net Sales</t>
  </si>
  <si>
    <t>Average Unit Price</t>
  </si>
  <si>
    <t>Highest Unit Price</t>
  </si>
  <si>
    <t>Lowest Unit Price</t>
  </si>
  <si>
    <t>COUNT — numeric Unit Price entries</t>
  </si>
  <si>
    <t>COUNTA — non-empty Order IDs</t>
  </si>
  <si>
    <t>Electronics order count</t>
  </si>
  <si>
    <t>North total Net Sales</t>
  </si>
  <si>
    <t>West Corporate total Net Sales</t>
  </si>
  <si>
    <t>Accessories + Retail order count</t>
  </si>
  <si>
    <t>Section D — Pivot Table Practice</t>
  </si>
  <si>
    <t>1. Total Net Sales by Region</t>
  </si>
  <si>
    <t>2. Total Units by Product</t>
  </si>
  <si>
    <t>Region Filter (select)</t>
  </si>
  <si>
    <t>All</t>
  </si>
  <si>
    <t>Filtered Net Sales</t>
  </si>
  <si>
    <t>Use the Region dropdown to interactively analyze total Net Sales.</t>
  </si>
  <si>
    <t>3. Net Sales by Region and Category</t>
  </si>
  <si>
    <t>4. Salesperson Total Net Sales</t>
  </si>
  <si>
    <t>5. Retail vs Corporate Net Sales</t>
  </si>
  <si>
    <t>6. Monthly Net Sales Summary</t>
  </si>
  <si>
    <t>Month</t>
  </si>
  <si>
    <t>January</t>
  </si>
  <si>
    <t>February</t>
  </si>
  <si>
    <t>March</t>
  </si>
  <si>
    <t>9. Average Unit Price 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</si>
</sst>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\₹#,##0.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166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65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vertical="center"/>
    </xf>
    <xf numFmtId="165" fontId="0" fillId="0" borderId="8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166" fontId="0" fillId="0" borderId="8" xfId="0" applyNumberFormat="1" applyBorder="1" applyAlignment="1">
      <alignment vertical="center"/>
    </xf>
    <xf numFmtId="9" fontId="0" fillId="0" borderId="8" xfId="0" applyNumberFormat="1" applyBorder="1" applyAlignment="1">
      <alignment vertical="center"/>
    </xf>
    <xf numFmtId="0" fontId="0" fillId="0" borderId="9" xfId="0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166" fontId="4" fillId="0" borderId="1" xfId="0" applyNumberFormat="1" applyFont="1" applyBorder="1" applyAlignment="1">
      <alignment vertical="center"/>
    </xf>
    <xf numFmtId="9" fontId="4" fillId="0" borderId="1" xfId="0" applyNumberFormat="1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165" fontId="4" fillId="0" borderId="8" xfId="0" applyNumberFormat="1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6" fontId="4" fillId="0" borderId="8" xfId="0" applyNumberFormat="1" applyFont="1" applyBorder="1" applyAlignment="1">
      <alignment vertical="center"/>
    </xf>
    <xf numFmtId="9" fontId="4" fillId="0" borderId="8" xfId="0" applyNumberFormat="1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</cellXfs>
  <cellStyles count="1">
    <cellStyle name="Normal" xfId="0" builtinId="0"/>
  </cellStyles>
  <dxfs count="51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numFmt numFmtId="166" formatCode="\₹#,##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numFmt numFmtId="166" formatCode="\₹#,##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numFmt numFmtId="166" formatCode="\₹#,##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numFmt numFmtId="166" formatCode="\₹#,##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numFmt numFmtId="13" formatCode="0%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numFmt numFmtId="166" formatCode="\₹#,##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numFmt numFmtId="165" formatCode="dd\-mmm\-yyyy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Region-wise Net Sales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'Pivot Tables'!$A$4:$A$7</c:f>
              <c:strCache>
                <c:ptCount val="4"/>
                <c:pt idx="0">
                  <c:v>Region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'Pivot Tables'!$B$4:$B$7</c:f>
              <c:numCache>
                <c:formatCode>\₹#,##0.00</c:formatCode>
                <c:ptCount val="4"/>
                <c:pt idx="0" formatCode="General">
                  <c:v>0</c:v>
                </c:pt>
                <c:pt idx="1">
                  <c:v>411740</c:v>
                </c:pt>
                <c:pt idx="2">
                  <c:v>394000</c:v>
                </c:pt>
                <c:pt idx="3">
                  <c:v>449265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2E-4A88-B308-9EB6A080D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Net Sales (₹)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647700</xdr:colOff>
      <xdr:row>24</xdr:row>
      <xdr:rowOff>133350</xdr:rowOff>
    </xdr:from>
    <xdr:ext cx="6072600" cy="29581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U21" headerRowDxfId="1" totalsRowDxfId="0" headerRowBorderDxfId="23" tableBorderDxfId="24">
  <autoFilter ref="A1:U21" xr:uid="{00000000-0009-0000-0100-000001000000}"/>
  <tableColumns count="21">
    <tableColumn id="1" xr3:uid="{00000000-0010-0000-0000-000001000000}" name="Order ID" dataDxfId="22"/>
    <tableColumn id="2" xr3:uid="{00000000-0010-0000-0000-000002000000}" name="Date" dataDxfId="21"/>
    <tableColumn id="3" xr3:uid="{00000000-0010-0000-0000-000003000000}" name="Region" dataDxfId="20"/>
    <tableColumn id="4" xr3:uid="{00000000-0010-0000-0000-000004000000}" name="Salesperson" dataDxfId="19"/>
    <tableColumn id="5" xr3:uid="{00000000-0010-0000-0000-000005000000}" name="Product" dataDxfId="18"/>
    <tableColumn id="6" xr3:uid="{00000000-0010-0000-0000-000006000000}" name="Category" dataDxfId="17"/>
    <tableColumn id="7" xr3:uid="{00000000-0010-0000-0000-000007000000}" name="Units" dataDxfId="16"/>
    <tableColumn id="8" xr3:uid="{00000000-0010-0000-0000-000008000000}" name="Unit Price" dataDxfId="15"/>
    <tableColumn id="9" xr3:uid="{00000000-0010-0000-0000-000009000000}" name="Discount" dataDxfId="14"/>
    <tableColumn id="10" xr3:uid="{00000000-0010-0000-0000-00000A000000}" name="Customer Type" dataDxfId="13"/>
    <tableColumn id="11" xr3:uid="{00000000-0010-0000-0000-00000B000000}" name="Gross Sales" dataDxfId="12"/>
    <tableColumn id="12" xr3:uid="{00000000-0010-0000-0000-00000C000000}" name="Net Sales" dataDxfId="11"/>
    <tableColumn id="13" xr3:uid="{00000000-0010-0000-0000-00000D000000}" name="Rounded Net Sales" dataDxfId="10"/>
    <tableColumn id="14" xr3:uid="{00000000-0010-0000-0000-00000E000000}" name="Performance" dataDxfId="9"/>
    <tableColumn id="15" xr3:uid="{00000000-0010-0000-0000-00000F000000}" name="Order Prefix" dataDxfId="8"/>
    <tableColumn id="16" xr3:uid="{00000000-0010-0000-0000-000010000000}" name="Month Number" dataDxfId="7"/>
    <tableColumn id="17" xr3:uid="{00000000-0010-0000-0000-000011000000}" name="Standard Price" dataDxfId="6">
      <calculatedColumnFormula>_xlfn.XLOOKUP(E2,Lookup!$A$2:$A$6,Lookup!$C$2:$C$6,"Not Found")</calculatedColumnFormula>
    </tableColumn>
    <tableColumn id="18" xr3:uid="{00000000-0010-0000-0000-000012000000}" name="Price Check" dataDxfId="5"/>
    <tableColumn id="19" xr3:uid="{00000000-0010-0000-0000-000013000000}" name="Customer Classification" dataDxfId="4"/>
    <tableColumn id="20" xr3:uid="{00000000-0010-0000-0000-000014000000}" name="Corporate ≥5%" dataDxfId="3"/>
    <tableColumn id="21" xr3:uid="{00000000-0010-0000-0000-000015000000}" name="North or South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1A1A20-E79D-4E95-B854-3B3E30D9810B}" name="Table2" displayName="Table2" ref="A1:U5" totalsRowShown="0" headerRowDxfId="26" dataDxfId="25" headerRowBorderDxfId="49" tableBorderDxfId="50" totalsRowBorderDxfId="48">
  <autoFilter ref="A1:U5" xr:uid="{00000000-0009-0000-0000-000002000000}"/>
  <tableColumns count="21">
    <tableColumn id="1" xr3:uid="{E946CC91-5D72-4802-8895-C22E4B65BE84}" name="Order ID" dataDxfId="47"/>
    <tableColumn id="2" xr3:uid="{50B1BB41-9DDD-438A-AF44-F49A1B74C2AB}" name="Date" dataDxfId="46"/>
    <tableColumn id="3" xr3:uid="{18817F55-574D-40BA-A342-431057EB7177}" name="Region" dataDxfId="45"/>
    <tableColumn id="4" xr3:uid="{9B2C8559-B287-461A-9416-F3362C58E69B}" name="Salesperson" dataDxfId="44"/>
    <tableColumn id="5" xr3:uid="{7F48744A-42F6-4E25-8330-1320BE7A9A5F}" name="Product" dataDxfId="43"/>
    <tableColumn id="6" xr3:uid="{BFB10088-A48D-4EDB-AE4C-E3991DCC5F7E}" name="Category" dataDxfId="42"/>
    <tableColumn id="7" xr3:uid="{A455F364-36CE-44CF-B1D0-AEA1379CF8C0}" name="Units" dataDxfId="41"/>
    <tableColumn id="8" xr3:uid="{42290976-D491-49D5-AA06-E5932E916BFB}" name="Unit Price" dataDxfId="40"/>
    <tableColumn id="9" xr3:uid="{CD4C74EF-7C4B-46F2-BA5B-B3B10A3E677D}" name="Discount" dataDxfId="39"/>
    <tableColumn id="10" xr3:uid="{E0BB7803-BA89-412E-8BB3-EB4AE883FE9F}" name="Customer Type" dataDxfId="38"/>
    <tableColumn id="11" xr3:uid="{4ABF66E5-748B-4913-9946-D600DDE8ACAC}" name="Gross Sales" dataDxfId="37"/>
    <tableColumn id="12" xr3:uid="{AC777718-0276-4504-8974-C4B1AF286432}" name="Net Sales" dataDxfId="36"/>
    <tableColumn id="13" xr3:uid="{9149D505-E0B6-498F-8346-11E2F7D969F3}" name="Rounded Net Sales" dataDxfId="35"/>
    <tableColumn id="14" xr3:uid="{E5593FF4-7F34-44D3-A824-FB7C3FE81ED4}" name="Performance" dataDxfId="34"/>
    <tableColumn id="15" xr3:uid="{674D35CA-8B3B-46B3-9094-F6D9AFF6C482}" name="Order Prefix" dataDxfId="33"/>
    <tableColumn id="16" xr3:uid="{6E55EDFF-50DA-4558-A2A6-2D21B0157106}" name="Month Number" dataDxfId="32"/>
    <tableColumn id="17" xr3:uid="{6D1F4F21-2DBA-4362-9560-76A36E3CF887}" name="Standard Price" dataDxfId="31"/>
    <tableColumn id="18" xr3:uid="{81F96CB2-DF2A-4A99-B641-6280FF977510}" name="Price Check" dataDxfId="30"/>
    <tableColumn id="19" xr3:uid="{3B367E48-35A9-4C4B-8895-46FF653C415A}" name="Customer Classification" dataDxfId="29"/>
    <tableColumn id="20" xr3:uid="{72416245-64D7-4A97-919A-7D00A688901C}" name="Corporate ≥5%" dataDxfId="28"/>
    <tableColumn id="21" xr3:uid="{7E93CC80-2D5C-452B-8CB5-0426E60A5F74}" name="North or South" dataDxfId="27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showGridLines="0" tabSelected="1" topLeftCell="K1" workbookViewId="0">
      <pane ySplit="1" topLeftCell="A5" activePane="bottomLeft" state="frozen"/>
      <selection pane="bottomLeft" activeCell="S23" sqref="S23"/>
    </sheetView>
  </sheetViews>
  <sheetFormatPr defaultRowHeight="15" x14ac:dyDescent="0.25"/>
  <cols>
    <col min="1" max="1" width="12" customWidth="1"/>
    <col min="2" max="2" width="14" customWidth="1"/>
    <col min="3" max="3" width="10" customWidth="1"/>
    <col min="4" max="4" width="13" customWidth="1"/>
    <col min="5" max="5" width="12" customWidth="1"/>
    <col min="6" max="6" width="14" customWidth="1"/>
    <col min="7" max="7" width="9" customWidth="1"/>
    <col min="8" max="8" width="14" customWidth="1"/>
    <col min="9" max="9" width="11" customWidth="1"/>
    <col min="10" max="10" width="14" customWidth="1"/>
    <col min="11" max="12" width="15" customWidth="1"/>
    <col min="13" max="13" width="18" customWidth="1"/>
    <col min="14" max="14" width="13" customWidth="1"/>
    <col min="15" max="15" width="14" customWidth="1"/>
    <col min="16" max="16" width="13" customWidth="1"/>
    <col min="17" max="17" width="15" customWidth="1"/>
    <col min="18" max="18" width="17" customWidth="1"/>
    <col min="19" max="19" width="22" customWidth="1"/>
    <col min="20" max="21" width="17" customWidth="1"/>
  </cols>
  <sheetData>
    <row r="1" spans="1:21" ht="30" x14ac:dyDescent="0.25">
      <c r="A1" s="36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8" t="s">
        <v>20</v>
      </c>
    </row>
    <row r="2" spans="1:21" x14ac:dyDescent="0.25">
      <c r="A2" s="12" t="s">
        <v>21</v>
      </c>
      <c r="B2" s="10">
        <v>46027</v>
      </c>
      <c r="C2" s="4" t="s">
        <v>22</v>
      </c>
      <c r="D2" s="4" t="s">
        <v>23</v>
      </c>
      <c r="E2" s="4" t="s">
        <v>24</v>
      </c>
      <c r="F2" s="4" t="s">
        <v>25</v>
      </c>
      <c r="G2" s="4">
        <v>3</v>
      </c>
      <c r="H2" s="6">
        <v>55000</v>
      </c>
      <c r="I2" s="11">
        <v>0.05</v>
      </c>
      <c r="J2" s="4" t="s">
        <v>26</v>
      </c>
      <c r="K2" s="6">
        <f t="shared" ref="K2:K21" si="0">G2*H2</f>
        <v>165000</v>
      </c>
      <c r="L2" s="6">
        <f t="shared" ref="L2:L21" si="1">K2*(1-I2)</f>
        <v>156750</v>
      </c>
      <c r="M2" s="6">
        <f t="shared" ref="M2:M21" si="2">ROUND(L2,0)</f>
        <v>156750</v>
      </c>
      <c r="N2" s="4" t="str">
        <f t="shared" ref="N2:N21" si="3">IF(L2&gt;=100000,"High","Normal")</f>
        <v>High</v>
      </c>
      <c r="O2" s="4" t="str">
        <f t="shared" ref="O2:O21" si="4">LEFT(A2,3)</f>
        <v>O10</v>
      </c>
      <c r="P2" s="4">
        <f t="shared" ref="P2:P21" si="5">MONTH(B2)</f>
        <v>1</v>
      </c>
      <c r="Q2" s="6">
        <f>_xlfn.XLOOKUP(E2,Lookup!$A$2:$A$6,Lookup!$C$2:$C$6,"Not Found")</f>
        <v>55000</v>
      </c>
      <c r="R2" s="4" t="str">
        <f t="shared" ref="R2:R21" si="6">IF(H2&gt;Q2,"Above Standard","Within Standard")</f>
        <v>Within Standard</v>
      </c>
      <c r="S2" s="4" t="str">
        <f t="shared" ref="S2:S21" si="7">IF(J2="Retail","Retail","Corporate")</f>
        <v>Retail</v>
      </c>
      <c r="T2" s="4" t="str">
        <f t="shared" ref="T2:T21" si="8">IF(AND(J2="Corporate",I2&gt;=5%),"Yes","No")</f>
        <v>No</v>
      </c>
      <c r="U2" s="13" t="str">
        <f t="shared" ref="U2:U21" si="9">IF(OR(C2="North",C2="South"),"Yes","No")</f>
        <v>Yes</v>
      </c>
    </row>
    <row r="3" spans="1:21" x14ac:dyDescent="0.25">
      <c r="A3" s="12" t="s">
        <v>27</v>
      </c>
      <c r="B3" s="10">
        <v>46029</v>
      </c>
      <c r="C3" s="4" t="s">
        <v>28</v>
      </c>
      <c r="D3" s="4" t="s">
        <v>29</v>
      </c>
      <c r="E3" s="4" t="s">
        <v>30</v>
      </c>
      <c r="F3" s="4" t="s">
        <v>25</v>
      </c>
      <c r="G3" s="4">
        <v>5</v>
      </c>
      <c r="H3" s="6">
        <v>18000</v>
      </c>
      <c r="I3" s="11">
        <v>0</v>
      </c>
      <c r="J3" s="4" t="s">
        <v>31</v>
      </c>
      <c r="K3" s="6">
        <f t="shared" si="0"/>
        <v>90000</v>
      </c>
      <c r="L3" s="6">
        <f t="shared" si="1"/>
        <v>90000</v>
      </c>
      <c r="M3" s="6">
        <f t="shared" si="2"/>
        <v>90000</v>
      </c>
      <c r="N3" s="4" t="str">
        <f t="shared" si="3"/>
        <v>Normal</v>
      </c>
      <c r="O3" s="4" t="str">
        <f t="shared" si="4"/>
        <v>O10</v>
      </c>
      <c r="P3" s="4">
        <f t="shared" si="5"/>
        <v>1</v>
      </c>
      <c r="Q3" s="6">
        <f>_xlfn.XLOOKUP(E3,Lookup!$A$2:$A$6,Lookup!$C$2:$C$6,"Not Found")</f>
        <v>18000</v>
      </c>
      <c r="R3" s="4" t="str">
        <f t="shared" si="6"/>
        <v>Within Standard</v>
      </c>
      <c r="S3" s="4" t="str">
        <f t="shared" si="7"/>
        <v>Corporate</v>
      </c>
      <c r="T3" s="4" t="str">
        <f t="shared" si="8"/>
        <v>No</v>
      </c>
      <c r="U3" s="13" t="str">
        <f t="shared" si="9"/>
        <v>No</v>
      </c>
    </row>
    <row r="4" spans="1:21" x14ac:dyDescent="0.25">
      <c r="A4" s="12" t="s">
        <v>32</v>
      </c>
      <c r="B4" s="10">
        <v>46031</v>
      </c>
      <c r="C4" s="4" t="s">
        <v>33</v>
      </c>
      <c r="D4" s="4" t="s">
        <v>34</v>
      </c>
      <c r="E4" s="4" t="s">
        <v>35</v>
      </c>
      <c r="F4" s="4" t="s">
        <v>36</v>
      </c>
      <c r="G4" s="4">
        <v>12</v>
      </c>
      <c r="H4" s="6">
        <v>2200</v>
      </c>
      <c r="I4" s="11">
        <v>0.1</v>
      </c>
      <c r="J4" s="4" t="s">
        <v>26</v>
      </c>
      <c r="K4" s="6">
        <f t="shared" si="0"/>
        <v>26400</v>
      </c>
      <c r="L4" s="6">
        <f t="shared" si="1"/>
        <v>23760</v>
      </c>
      <c r="M4" s="6">
        <f t="shared" si="2"/>
        <v>23760</v>
      </c>
      <c r="N4" s="4" t="str">
        <f t="shared" si="3"/>
        <v>Normal</v>
      </c>
      <c r="O4" s="4" t="str">
        <f t="shared" si="4"/>
        <v>O10</v>
      </c>
      <c r="P4" s="4">
        <f t="shared" si="5"/>
        <v>1</v>
      </c>
      <c r="Q4" s="6">
        <f>_xlfn.XLOOKUP(E4,Lookup!$A$2:$A$6,Lookup!$C$2:$C$6,"Not Found")</f>
        <v>2200</v>
      </c>
      <c r="R4" s="4" t="str">
        <f t="shared" si="6"/>
        <v>Within Standard</v>
      </c>
      <c r="S4" s="4" t="str">
        <f t="shared" si="7"/>
        <v>Retail</v>
      </c>
      <c r="T4" s="4" t="str">
        <f t="shared" si="8"/>
        <v>No</v>
      </c>
      <c r="U4" s="13" t="str">
        <f t="shared" si="9"/>
        <v>Yes</v>
      </c>
    </row>
    <row r="5" spans="1:21" x14ac:dyDescent="0.25">
      <c r="A5" s="12" t="s">
        <v>37</v>
      </c>
      <c r="B5" s="10">
        <v>46034</v>
      </c>
      <c r="C5" s="4" t="s">
        <v>38</v>
      </c>
      <c r="D5" s="4" t="s">
        <v>39</v>
      </c>
      <c r="E5" s="4" t="s">
        <v>40</v>
      </c>
      <c r="F5" s="4" t="s">
        <v>41</v>
      </c>
      <c r="G5" s="4">
        <v>4</v>
      </c>
      <c r="H5" s="6">
        <v>14500</v>
      </c>
      <c r="I5" s="11">
        <v>0.05</v>
      </c>
      <c r="J5" s="4" t="s">
        <v>31</v>
      </c>
      <c r="K5" s="6">
        <f t="shared" si="0"/>
        <v>58000</v>
      </c>
      <c r="L5" s="6">
        <f t="shared" si="1"/>
        <v>55100</v>
      </c>
      <c r="M5" s="6">
        <f t="shared" si="2"/>
        <v>55100</v>
      </c>
      <c r="N5" s="4" t="str">
        <f t="shared" si="3"/>
        <v>Normal</v>
      </c>
      <c r="O5" s="4" t="str">
        <f t="shared" si="4"/>
        <v>O10</v>
      </c>
      <c r="P5" s="4">
        <f t="shared" si="5"/>
        <v>1</v>
      </c>
      <c r="Q5" s="6">
        <f>_xlfn.XLOOKUP(E5,Lookup!$A$2:$A$6,Lookup!$C$2:$C$6,"Not Found")</f>
        <v>15000</v>
      </c>
      <c r="R5" s="4" t="str">
        <f t="shared" si="6"/>
        <v>Within Standard</v>
      </c>
      <c r="S5" s="4" t="str">
        <f t="shared" si="7"/>
        <v>Corporate</v>
      </c>
      <c r="T5" s="4" t="str">
        <f t="shared" si="8"/>
        <v>Yes</v>
      </c>
      <c r="U5" s="13" t="str">
        <f t="shared" si="9"/>
        <v>No</v>
      </c>
    </row>
    <row r="6" spans="1:21" x14ac:dyDescent="0.25">
      <c r="A6" s="12" t="s">
        <v>42</v>
      </c>
      <c r="B6" s="10">
        <v>46037</v>
      </c>
      <c r="C6" s="4" t="s">
        <v>22</v>
      </c>
      <c r="D6" s="4" t="s">
        <v>23</v>
      </c>
      <c r="E6" s="4" t="s">
        <v>43</v>
      </c>
      <c r="F6" s="4" t="s">
        <v>36</v>
      </c>
      <c r="G6" s="4">
        <v>20</v>
      </c>
      <c r="H6" s="6">
        <v>900</v>
      </c>
      <c r="I6" s="11">
        <v>0</v>
      </c>
      <c r="J6" s="4" t="s">
        <v>26</v>
      </c>
      <c r="K6" s="6">
        <f t="shared" si="0"/>
        <v>18000</v>
      </c>
      <c r="L6" s="6">
        <f t="shared" si="1"/>
        <v>18000</v>
      </c>
      <c r="M6" s="6">
        <f t="shared" si="2"/>
        <v>18000</v>
      </c>
      <c r="N6" s="4" t="str">
        <f t="shared" si="3"/>
        <v>Normal</v>
      </c>
      <c r="O6" s="4" t="str">
        <f t="shared" si="4"/>
        <v>O10</v>
      </c>
      <c r="P6" s="4">
        <f t="shared" si="5"/>
        <v>1</v>
      </c>
      <c r="Q6" s="6">
        <f>_xlfn.XLOOKUP(E6,Lookup!$A$2:$A$6,Lookup!$C$2:$C$6,"Not Found")</f>
        <v>900</v>
      </c>
      <c r="R6" s="4" t="str">
        <f t="shared" si="6"/>
        <v>Within Standard</v>
      </c>
      <c r="S6" s="4" t="str">
        <f t="shared" si="7"/>
        <v>Retail</v>
      </c>
      <c r="T6" s="4" t="str">
        <f t="shared" si="8"/>
        <v>No</v>
      </c>
      <c r="U6" s="13" t="str">
        <f t="shared" si="9"/>
        <v>Yes</v>
      </c>
    </row>
    <row r="7" spans="1:21" x14ac:dyDescent="0.25">
      <c r="A7" s="12" t="s">
        <v>44</v>
      </c>
      <c r="B7" s="10">
        <v>46040</v>
      </c>
      <c r="C7" s="4" t="s">
        <v>28</v>
      </c>
      <c r="D7" s="4" t="s">
        <v>45</v>
      </c>
      <c r="E7" s="4" t="s">
        <v>24</v>
      </c>
      <c r="F7" s="4" t="s">
        <v>25</v>
      </c>
      <c r="G7" s="4">
        <v>2</v>
      </c>
      <c r="H7" s="6">
        <v>56000</v>
      </c>
      <c r="I7" s="11">
        <v>0.08</v>
      </c>
      <c r="J7" s="4" t="s">
        <v>31</v>
      </c>
      <c r="K7" s="6">
        <f t="shared" si="0"/>
        <v>112000</v>
      </c>
      <c r="L7" s="6">
        <f t="shared" si="1"/>
        <v>103040</v>
      </c>
      <c r="M7" s="6">
        <f t="shared" si="2"/>
        <v>103040</v>
      </c>
      <c r="N7" s="4" t="str">
        <f t="shared" si="3"/>
        <v>High</v>
      </c>
      <c r="O7" s="4" t="str">
        <f t="shared" si="4"/>
        <v>O10</v>
      </c>
      <c r="P7" s="4">
        <f t="shared" si="5"/>
        <v>1</v>
      </c>
      <c r="Q7" s="6">
        <f>_xlfn.XLOOKUP(E7,Lookup!$A$2:$A$6,Lookup!$C$2:$C$6,"Not Found")</f>
        <v>55000</v>
      </c>
      <c r="R7" s="4" t="str">
        <f t="shared" si="6"/>
        <v>Above Standard</v>
      </c>
      <c r="S7" s="4" t="str">
        <f t="shared" si="7"/>
        <v>Corporate</v>
      </c>
      <c r="T7" s="4" t="str">
        <f t="shared" si="8"/>
        <v>Yes</v>
      </c>
      <c r="U7" s="13" t="str">
        <f t="shared" si="9"/>
        <v>No</v>
      </c>
    </row>
    <row r="8" spans="1:21" x14ac:dyDescent="0.25">
      <c r="A8" s="12" t="s">
        <v>46</v>
      </c>
      <c r="B8" s="10">
        <v>46043</v>
      </c>
      <c r="C8" s="4" t="s">
        <v>33</v>
      </c>
      <c r="D8" s="4" t="s">
        <v>34</v>
      </c>
      <c r="E8" s="4" t="s">
        <v>30</v>
      </c>
      <c r="F8" s="4" t="s">
        <v>25</v>
      </c>
      <c r="G8" s="4">
        <v>7</v>
      </c>
      <c r="H8" s="6">
        <v>17500</v>
      </c>
      <c r="I8" s="11">
        <v>0.05</v>
      </c>
      <c r="J8" s="4" t="s">
        <v>26</v>
      </c>
      <c r="K8" s="6">
        <f t="shared" si="0"/>
        <v>122500</v>
      </c>
      <c r="L8" s="6">
        <f t="shared" si="1"/>
        <v>116375</v>
      </c>
      <c r="M8" s="6">
        <f t="shared" si="2"/>
        <v>116375</v>
      </c>
      <c r="N8" s="4" t="str">
        <f t="shared" si="3"/>
        <v>High</v>
      </c>
      <c r="O8" s="4" t="str">
        <f t="shared" si="4"/>
        <v>O10</v>
      </c>
      <c r="P8" s="4">
        <f t="shared" si="5"/>
        <v>1</v>
      </c>
      <c r="Q8" s="6">
        <f>_xlfn.XLOOKUP(E8,Lookup!$A$2:$A$6,Lookup!$C$2:$C$6,"Not Found")</f>
        <v>18000</v>
      </c>
      <c r="R8" s="4" t="str">
        <f t="shared" si="6"/>
        <v>Within Standard</v>
      </c>
      <c r="S8" s="4" t="str">
        <f t="shared" si="7"/>
        <v>Retail</v>
      </c>
      <c r="T8" s="4" t="str">
        <f t="shared" si="8"/>
        <v>No</v>
      </c>
      <c r="U8" s="13" t="str">
        <f t="shared" si="9"/>
        <v>Yes</v>
      </c>
    </row>
    <row r="9" spans="1:21" x14ac:dyDescent="0.25">
      <c r="A9" s="12" t="s">
        <v>47</v>
      </c>
      <c r="B9" s="10">
        <v>46046</v>
      </c>
      <c r="C9" s="4" t="s">
        <v>38</v>
      </c>
      <c r="D9" s="4" t="s">
        <v>39</v>
      </c>
      <c r="E9" s="4" t="s">
        <v>35</v>
      </c>
      <c r="F9" s="4" t="s">
        <v>36</v>
      </c>
      <c r="G9" s="4">
        <v>15</v>
      </c>
      <c r="H9" s="6">
        <v>2100</v>
      </c>
      <c r="I9" s="11">
        <v>0.1</v>
      </c>
      <c r="J9" s="4" t="s">
        <v>26</v>
      </c>
      <c r="K9" s="6">
        <f t="shared" si="0"/>
        <v>31500</v>
      </c>
      <c r="L9" s="6">
        <f t="shared" si="1"/>
        <v>28350</v>
      </c>
      <c r="M9" s="6">
        <f t="shared" si="2"/>
        <v>28350</v>
      </c>
      <c r="N9" s="4" t="str">
        <f t="shared" si="3"/>
        <v>Normal</v>
      </c>
      <c r="O9" s="4" t="str">
        <f t="shared" si="4"/>
        <v>O10</v>
      </c>
      <c r="P9" s="4">
        <f t="shared" si="5"/>
        <v>1</v>
      </c>
      <c r="Q9" s="6">
        <f>_xlfn.XLOOKUP(E9,Lookup!$A$2:$A$6,Lookup!$C$2:$C$6,"Not Found")</f>
        <v>2200</v>
      </c>
      <c r="R9" s="4" t="str">
        <f t="shared" si="6"/>
        <v>Within Standard</v>
      </c>
      <c r="S9" s="4" t="str">
        <f t="shared" si="7"/>
        <v>Retail</v>
      </c>
      <c r="T9" s="4" t="str">
        <f t="shared" si="8"/>
        <v>No</v>
      </c>
      <c r="U9" s="13" t="str">
        <f t="shared" si="9"/>
        <v>No</v>
      </c>
    </row>
    <row r="10" spans="1:21" x14ac:dyDescent="0.25">
      <c r="A10" s="12" t="s">
        <v>48</v>
      </c>
      <c r="B10" s="10">
        <v>46050</v>
      </c>
      <c r="C10" s="4" t="s">
        <v>22</v>
      </c>
      <c r="D10" s="4" t="s">
        <v>49</v>
      </c>
      <c r="E10" s="4" t="s">
        <v>40</v>
      </c>
      <c r="F10" s="4" t="s">
        <v>41</v>
      </c>
      <c r="G10" s="4">
        <v>6</v>
      </c>
      <c r="H10" s="6">
        <v>15000</v>
      </c>
      <c r="I10" s="11">
        <v>0</v>
      </c>
      <c r="J10" s="4" t="s">
        <v>31</v>
      </c>
      <c r="K10" s="6">
        <f t="shared" si="0"/>
        <v>90000</v>
      </c>
      <c r="L10" s="6">
        <f t="shared" si="1"/>
        <v>90000</v>
      </c>
      <c r="M10" s="6">
        <f t="shared" si="2"/>
        <v>90000</v>
      </c>
      <c r="N10" s="4" t="str">
        <f t="shared" si="3"/>
        <v>Normal</v>
      </c>
      <c r="O10" s="4" t="str">
        <f t="shared" si="4"/>
        <v>O10</v>
      </c>
      <c r="P10" s="4">
        <f t="shared" si="5"/>
        <v>1</v>
      </c>
      <c r="Q10" s="6">
        <f>_xlfn.XLOOKUP(E10,Lookup!$A$2:$A$6,Lookup!$C$2:$C$6,"Not Found")</f>
        <v>15000</v>
      </c>
      <c r="R10" s="4" t="str">
        <f t="shared" si="6"/>
        <v>Within Standard</v>
      </c>
      <c r="S10" s="4" t="str">
        <f t="shared" si="7"/>
        <v>Corporate</v>
      </c>
      <c r="T10" s="4" t="str">
        <f t="shared" si="8"/>
        <v>No</v>
      </c>
      <c r="U10" s="13" t="str">
        <f t="shared" si="9"/>
        <v>Yes</v>
      </c>
    </row>
    <row r="11" spans="1:21" x14ac:dyDescent="0.25">
      <c r="A11" s="12" t="s">
        <v>50</v>
      </c>
      <c r="B11" s="10">
        <v>46055</v>
      </c>
      <c r="C11" s="4" t="s">
        <v>28</v>
      </c>
      <c r="D11" s="4" t="s">
        <v>45</v>
      </c>
      <c r="E11" s="4" t="s">
        <v>43</v>
      </c>
      <c r="F11" s="4" t="s">
        <v>36</v>
      </c>
      <c r="G11" s="4">
        <v>25</v>
      </c>
      <c r="H11" s="6">
        <v>850</v>
      </c>
      <c r="I11" s="11">
        <v>0.05</v>
      </c>
      <c r="J11" s="4" t="s">
        <v>26</v>
      </c>
      <c r="K11" s="6">
        <f t="shared" si="0"/>
        <v>21250</v>
      </c>
      <c r="L11" s="6">
        <f t="shared" si="1"/>
        <v>20187.5</v>
      </c>
      <c r="M11" s="6">
        <f t="shared" si="2"/>
        <v>20188</v>
      </c>
      <c r="N11" s="4" t="str">
        <f t="shared" si="3"/>
        <v>Normal</v>
      </c>
      <c r="O11" s="4" t="str">
        <f t="shared" si="4"/>
        <v>O10</v>
      </c>
      <c r="P11" s="4">
        <f t="shared" si="5"/>
        <v>2</v>
      </c>
      <c r="Q11" s="6">
        <f>_xlfn.XLOOKUP(E11,Lookup!$A$2:$A$6,Lookup!$C$2:$C$6,"Not Found")</f>
        <v>900</v>
      </c>
      <c r="R11" s="4" t="str">
        <f t="shared" si="6"/>
        <v>Within Standard</v>
      </c>
      <c r="S11" s="4" t="str">
        <f t="shared" si="7"/>
        <v>Retail</v>
      </c>
      <c r="T11" s="4" t="str">
        <f t="shared" si="8"/>
        <v>No</v>
      </c>
      <c r="U11" s="13" t="str">
        <f t="shared" si="9"/>
        <v>No</v>
      </c>
    </row>
    <row r="12" spans="1:21" x14ac:dyDescent="0.25">
      <c r="A12" s="12" t="s">
        <v>51</v>
      </c>
      <c r="B12" s="10">
        <v>46058</v>
      </c>
      <c r="C12" s="4" t="s">
        <v>33</v>
      </c>
      <c r="D12" s="4" t="s">
        <v>34</v>
      </c>
      <c r="E12" s="4" t="s">
        <v>24</v>
      </c>
      <c r="F12" s="4" t="s">
        <v>25</v>
      </c>
      <c r="G12" s="4">
        <v>4</v>
      </c>
      <c r="H12" s="6">
        <v>54500</v>
      </c>
      <c r="I12" s="11">
        <v>0.1</v>
      </c>
      <c r="J12" s="4" t="s">
        <v>31</v>
      </c>
      <c r="K12" s="6">
        <f t="shared" si="0"/>
        <v>218000</v>
      </c>
      <c r="L12" s="6">
        <f t="shared" si="1"/>
        <v>196200</v>
      </c>
      <c r="M12" s="6">
        <f t="shared" si="2"/>
        <v>196200</v>
      </c>
      <c r="N12" s="4" t="str">
        <f t="shared" si="3"/>
        <v>High</v>
      </c>
      <c r="O12" s="4" t="str">
        <f t="shared" si="4"/>
        <v>O10</v>
      </c>
      <c r="P12" s="4">
        <f t="shared" si="5"/>
        <v>2</v>
      </c>
      <c r="Q12" s="6">
        <f>_xlfn.XLOOKUP(E12,Lookup!$A$2:$A$6,Lookup!$C$2:$C$6,"Not Found")</f>
        <v>55000</v>
      </c>
      <c r="R12" s="4" t="str">
        <f t="shared" si="6"/>
        <v>Within Standard</v>
      </c>
      <c r="S12" s="4" t="str">
        <f t="shared" si="7"/>
        <v>Corporate</v>
      </c>
      <c r="T12" s="4" t="str">
        <f t="shared" si="8"/>
        <v>Yes</v>
      </c>
      <c r="U12" s="13" t="str">
        <f t="shared" si="9"/>
        <v>Yes</v>
      </c>
    </row>
    <row r="13" spans="1:21" x14ac:dyDescent="0.25">
      <c r="A13" s="12" t="s">
        <v>52</v>
      </c>
      <c r="B13" s="10">
        <v>46062</v>
      </c>
      <c r="C13" s="4" t="s">
        <v>38</v>
      </c>
      <c r="D13" s="4" t="s">
        <v>39</v>
      </c>
      <c r="E13" s="4" t="s">
        <v>30</v>
      </c>
      <c r="F13" s="4" t="s">
        <v>25</v>
      </c>
      <c r="G13" s="4">
        <v>8</v>
      </c>
      <c r="H13" s="6">
        <v>18200</v>
      </c>
      <c r="I13" s="11">
        <v>0</v>
      </c>
      <c r="J13" s="4" t="s">
        <v>26</v>
      </c>
      <c r="K13" s="6">
        <f t="shared" si="0"/>
        <v>145600</v>
      </c>
      <c r="L13" s="6">
        <f t="shared" si="1"/>
        <v>145600</v>
      </c>
      <c r="M13" s="6">
        <f t="shared" si="2"/>
        <v>145600</v>
      </c>
      <c r="N13" s="4" t="str">
        <f t="shared" si="3"/>
        <v>High</v>
      </c>
      <c r="O13" s="4" t="str">
        <f t="shared" si="4"/>
        <v>O10</v>
      </c>
      <c r="P13" s="4">
        <f t="shared" si="5"/>
        <v>2</v>
      </c>
      <c r="Q13" s="6">
        <f>_xlfn.XLOOKUP(E13,Lookup!$A$2:$A$6,Lookup!$C$2:$C$6,"Not Found")</f>
        <v>18000</v>
      </c>
      <c r="R13" s="4" t="str">
        <f t="shared" si="6"/>
        <v>Above Standard</v>
      </c>
      <c r="S13" s="4" t="str">
        <f t="shared" si="7"/>
        <v>Retail</v>
      </c>
      <c r="T13" s="4" t="str">
        <f t="shared" si="8"/>
        <v>No</v>
      </c>
      <c r="U13" s="13" t="str">
        <f t="shared" si="9"/>
        <v>No</v>
      </c>
    </row>
    <row r="14" spans="1:21" x14ac:dyDescent="0.25">
      <c r="A14" s="12" t="s">
        <v>53</v>
      </c>
      <c r="B14" s="10">
        <v>46066</v>
      </c>
      <c r="C14" s="4" t="s">
        <v>22</v>
      </c>
      <c r="D14" s="4" t="s">
        <v>49</v>
      </c>
      <c r="E14" s="4" t="s">
        <v>35</v>
      </c>
      <c r="F14" s="4" t="s">
        <v>36</v>
      </c>
      <c r="G14" s="4">
        <v>10</v>
      </c>
      <c r="H14" s="6">
        <v>2300</v>
      </c>
      <c r="I14" s="11">
        <v>0.05</v>
      </c>
      <c r="J14" s="4" t="s">
        <v>26</v>
      </c>
      <c r="K14" s="6">
        <f t="shared" si="0"/>
        <v>23000</v>
      </c>
      <c r="L14" s="6">
        <f t="shared" si="1"/>
        <v>21850</v>
      </c>
      <c r="M14" s="6">
        <f t="shared" si="2"/>
        <v>21850</v>
      </c>
      <c r="N14" s="4" t="str">
        <f t="shared" si="3"/>
        <v>Normal</v>
      </c>
      <c r="O14" s="4" t="str">
        <f t="shared" si="4"/>
        <v>O10</v>
      </c>
      <c r="P14" s="4">
        <f t="shared" si="5"/>
        <v>2</v>
      </c>
      <c r="Q14" s="6">
        <f>_xlfn.XLOOKUP(E14,Lookup!$A$2:$A$6,Lookup!$C$2:$C$6,"Not Found")</f>
        <v>2200</v>
      </c>
      <c r="R14" s="4" t="str">
        <f t="shared" si="6"/>
        <v>Above Standard</v>
      </c>
      <c r="S14" s="4" t="str">
        <f t="shared" si="7"/>
        <v>Retail</v>
      </c>
      <c r="T14" s="4" t="str">
        <f t="shared" si="8"/>
        <v>No</v>
      </c>
      <c r="U14" s="13" t="str">
        <f t="shared" si="9"/>
        <v>Yes</v>
      </c>
    </row>
    <row r="15" spans="1:21" x14ac:dyDescent="0.25">
      <c r="A15" s="12" t="s">
        <v>54</v>
      </c>
      <c r="B15" s="10">
        <v>46070</v>
      </c>
      <c r="C15" s="4" t="s">
        <v>28</v>
      </c>
      <c r="D15" s="4" t="s">
        <v>45</v>
      </c>
      <c r="E15" s="4" t="s">
        <v>40</v>
      </c>
      <c r="F15" s="4" t="s">
        <v>41</v>
      </c>
      <c r="G15" s="4">
        <v>5</v>
      </c>
      <c r="H15" s="6">
        <v>14800</v>
      </c>
      <c r="I15" s="11">
        <v>0.08</v>
      </c>
      <c r="J15" s="4" t="s">
        <v>31</v>
      </c>
      <c r="K15" s="6">
        <f t="shared" si="0"/>
        <v>74000</v>
      </c>
      <c r="L15" s="6">
        <f t="shared" si="1"/>
        <v>68080</v>
      </c>
      <c r="M15" s="6">
        <f t="shared" si="2"/>
        <v>68080</v>
      </c>
      <c r="N15" s="4" t="str">
        <f t="shared" si="3"/>
        <v>Normal</v>
      </c>
      <c r="O15" s="4" t="str">
        <f t="shared" si="4"/>
        <v>O10</v>
      </c>
      <c r="P15" s="4">
        <f t="shared" si="5"/>
        <v>2</v>
      </c>
      <c r="Q15" s="6">
        <f>_xlfn.XLOOKUP(E15,Lookup!$A$2:$A$6,Lookup!$C$2:$C$6,"Not Found")</f>
        <v>15000</v>
      </c>
      <c r="R15" s="4" t="str">
        <f t="shared" si="6"/>
        <v>Within Standard</v>
      </c>
      <c r="S15" s="4" t="str">
        <f t="shared" si="7"/>
        <v>Corporate</v>
      </c>
      <c r="T15" s="4" t="str">
        <f t="shared" si="8"/>
        <v>Yes</v>
      </c>
      <c r="U15" s="13" t="str">
        <f t="shared" si="9"/>
        <v>No</v>
      </c>
    </row>
    <row r="16" spans="1:21" x14ac:dyDescent="0.25">
      <c r="A16" s="12" t="s">
        <v>55</v>
      </c>
      <c r="B16" s="10">
        <v>46074</v>
      </c>
      <c r="C16" s="4" t="s">
        <v>33</v>
      </c>
      <c r="D16" s="4" t="s">
        <v>34</v>
      </c>
      <c r="E16" s="4" t="s">
        <v>43</v>
      </c>
      <c r="F16" s="4" t="s">
        <v>36</v>
      </c>
      <c r="G16" s="4">
        <v>18</v>
      </c>
      <c r="H16" s="6">
        <v>880</v>
      </c>
      <c r="I16" s="11">
        <v>0</v>
      </c>
      <c r="J16" s="4" t="s">
        <v>26</v>
      </c>
      <c r="K16" s="6">
        <f t="shared" si="0"/>
        <v>15840</v>
      </c>
      <c r="L16" s="6">
        <f t="shared" si="1"/>
        <v>15840</v>
      </c>
      <c r="M16" s="6">
        <f t="shared" si="2"/>
        <v>15840</v>
      </c>
      <c r="N16" s="4" t="str">
        <f t="shared" si="3"/>
        <v>Normal</v>
      </c>
      <c r="O16" s="4" t="str">
        <f t="shared" si="4"/>
        <v>O10</v>
      </c>
      <c r="P16" s="4">
        <f t="shared" si="5"/>
        <v>2</v>
      </c>
      <c r="Q16" s="6">
        <f>_xlfn.XLOOKUP(E16,Lookup!$A$2:$A$6,Lookup!$C$2:$C$6,"Not Found")</f>
        <v>900</v>
      </c>
      <c r="R16" s="4" t="str">
        <f t="shared" si="6"/>
        <v>Within Standard</v>
      </c>
      <c r="S16" s="4" t="str">
        <f t="shared" si="7"/>
        <v>Retail</v>
      </c>
      <c r="T16" s="4" t="str">
        <f t="shared" si="8"/>
        <v>No</v>
      </c>
      <c r="U16" s="13" t="str">
        <f t="shared" si="9"/>
        <v>Yes</v>
      </c>
    </row>
    <row r="17" spans="1:21" x14ac:dyDescent="0.25">
      <c r="A17" s="12" t="s">
        <v>56</v>
      </c>
      <c r="B17" s="10">
        <v>46078</v>
      </c>
      <c r="C17" s="4" t="s">
        <v>38</v>
      </c>
      <c r="D17" s="4" t="s">
        <v>39</v>
      </c>
      <c r="E17" s="4" t="s">
        <v>24</v>
      </c>
      <c r="F17" s="4" t="s">
        <v>25</v>
      </c>
      <c r="G17" s="4">
        <v>3</v>
      </c>
      <c r="H17" s="6">
        <v>57000</v>
      </c>
      <c r="I17" s="11">
        <v>0.05</v>
      </c>
      <c r="J17" s="4" t="s">
        <v>31</v>
      </c>
      <c r="K17" s="6">
        <f t="shared" si="0"/>
        <v>171000</v>
      </c>
      <c r="L17" s="6">
        <f t="shared" si="1"/>
        <v>162450</v>
      </c>
      <c r="M17" s="6">
        <f t="shared" si="2"/>
        <v>162450</v>
      </c>
      <c r="N17" s="4" t="str">
        <f t="shared" si="3"/>
        <v>High</v>
      </c>
      <c r="O17" s="4" t="str">
        <f t="shared" si="4"/>
        <v>O10</v>
      </c>
      <c r="P17" s="4">
        <f t="shared" si="5"/>
        <v>2</v>
      </c>
      <c r="Q17" s="6">
        <f>_xlfn.XLOOKUP(E17,Lookup!$A$2:$A$6,Lookup!$C$2:$C$6,"Not Found")</f>
        <v>55000</v>
      </c>
      <c r="R17" s="4" t="str">
        <f t="shared" si="6"/>
        <v>Above Standard</v>
      </c>
      <c r="S17" s="4" t="str">
        <f t="shared" si="7"/>
        <v>Corporate</v>
      </c>
      <c r="T17" s="4" t="str">
        <f t="shared" si="8"/>
        <v>Yes</v>
      </c>
      <c r="U17" s="13" t="str">
        <f t="shared" si="9"/>
        <v>No</v>
      </c>
    </row>
    <row r="18" spans="1:21" x14ac:dyDescent="0.25">
      <c r="A18" s="12" t="s">
        <v>57</v>
      </c>
      <c r="B18" s="10">
        <v>46084</v>
      </c>
      <c r="C18" s="4" t="s">
        <v>22</v>
      </c>
      <c r="D18" s="4" t="s">
        <v>23</v>
      </c>
      <c r="E18" s="4" t="s">
        <v>30</v>
      </c>
      <c r="F18" s="4" t="s">
        <v>25</v>
      </c>
      <c r="G18" s="4">
        <v>6</v>
      </c>
      <c r="H18" s="6">
        <v>17900</v>
      </c>
      <c r="I18" s="11">
        <v>0</v>
      </c>
      <c r="J18" s="4" t="s">
        <v>26</v>
      </c>
      <c r="K18" s="6">
        <f t="shared" si="0"/>
        <v>107400</v>
      </c>
      <c r="L18" s="6">
        <f t="shared" si="1"/>
        <v>107400</v>
      </c>
      <c r="M18" s="6">
        <f t="shared" si="2"/>
        <v>107400</v>
      </c>
      <c r="N18" s="4" t="str">
        <f t="shared" si="3"/>
        <v>High</v>
      </c>
      <c r="O18" s="4" t="str">
        <f t="shared" si="4"/>
        <v>O10</v>
      </c>
      <c r="P18" s="4">
        <f t="shared" si="5"/>
        <v>3</v>
      </c>
      <c r="Q18" s="6">
        <f>_xlfn.XLOOKUP(E18,Lookup!$A$2:$A$6,Lookup!$C$2:$C$6,"Not Found")</f>
        <v>18000</v>
      </c>
      <c r="R18" s="4" t="str">
        <f t="shared" si="6"/>
        <v>Within Standard</v>
      </c>
      <c r="S18" s="4" t="str">
        <f t="shared" si="7"/>
        <v>Retail</v>
      </c>
      <c r="T18" s="4" t="str">
        <f t="shared" si="8"/>
        <v>No</v>
      </c>
      <c r="U18" s="13" t="str">
        <f t="shared" si="9"/>
        <v>Yes</v>
      </c>
    </row>
    <row r="19" spans="1:21" x14ac:dyDescent="0.25">
      <c r="A19" s="12" t="s">
        <v>58</v>
      </c>
      <c r="B19" s="10">
        <v>46089</v>
      </c>
      <c r="C19" s="4" t="s">
        <v>28</v>
      </c>
      <c r="D19" s="4" t="s">
        <v>45</v>
      </c>
      <c r="E19" s="4" t="s">
        <v>35</v>
      </c>
      <c r="F19" s="4" t="s">
        <v>36</v>
      </c>
      <c r="G19" s="4">
        <v>14</v>
      </c>
      <c r="H19" s="6">
        <v>2250</v>
      </c>
      <c r="I19" s="11">
        <v>0.1</v>
      </c>
      <c r="J19" s="4" t="s">
        <v>26</v>
      </c>
      <c r="K19" s="6">
        <f t="shared" si="0"/>
        <v>31500</v>
      </c>
      <c r="L19" s="6">
        <f t="shared" si="1"/>
        <v>28350</v>
      </c>
      <c r="M19" s="6">
        <f t="shared" si="2"/>
        <v>28350</v>
      </c>
      <c r="N19" s="4" t="str">
        <f t="shared" si="3"/>
        <v>Normal</v>
      </c>
      <c r="O19" s="4" t="str">
        <f t="shared" si="4"/>
        <v>O10</v>
      </c>
      <c r="P19" s="4">
        <f t="shared" si="5"/>
        <v>3</v>
      </c>
      <c r="Q19" s="6">
        <f>_xlfn.XLOOKUP(E19,Lookup!$A$2:$A$6,Lookup!$C$2:$C$6,"Not Found")</f>
        <v>2200</v>
      </c>
      <c r="R19" s="4" t="str">
        <f t="shared" si="6"/>
        <v>Above Standard</v>
      </c>
      <c r="S19" s="4" t="str">
        <f t="shared" si="7"/>
        <v>Retail</v>
      </c>
      <c r="T19" s="4" t="str">
        <f t="shared" si="8"/>
        <v>No</v>
      </c>
      <c r="U19" s="13" t="str">
        <f t="shared" si="9"/>
        <v>No</v>
      </c>
    </row>
    <row r="20" spans="1:21" x14ac:dyDescent="0.25">
      <c r="A20" s="12" t="s">
        <v>59</v>
      </c>
      <c r="B20" s="10">
        <v>46095</v>
      </c>
      <c r="C20" s="4" t="s">
        <v>33</v>
      </c>
      <c r="D20" s="4" t="s">
        <v>34</v>
      </c>
      <c r="E20" s="4" t="s">
        <v>40</v>
      </c>
      <c r="F20" s="4" t="s">
        <v>41</v>
      </c>
      <c r="G20" s="4">
        <v>7</v>
      </c>
      <c r="H20" s="6">
        <v>14600</v>
      </c>
      <c r="I20" s="11">
        <v>0.05</v>
      </c>
      <c r="J20" s="4" t="s">
        <v>31</v>
      </c>
      <c r="K20" s="6">
        <f t="shared" si="0"/>
        <v>102200</v>
      </c>
      <c r="L20" s="6">
        <f t="shared" si="1"/>
        <v>97090</v>
      </c>
      <c r="M20" s="6">
        <f t="shared" si="2"/>
        <v>97090</v>
      </c>
      <c r="N20" s="4" t="str">
        <f t="shared" si="3"/>
        <v>Normal</v>
      </c>
      <c r="O20" s="4" t="str">
        <f t="shared" si="4"/>
        <v>O10</v>
      </c>
      <c r="P20" s="4">
        <f t="shared" si="5"/>
        <v>3</v>
      </c>
      <c r="Q20" s="6">
        <f>_xlfn.XLOOKUP(E20,Lookup!$A$2:$A$6,Lookup!$C$2:$C$6,"Not Found")</f>
        <v>15000</v>
      </c>
      <c r="R20" s="4" t="str">
        <f t="shared" si="6"/>
        <v>Within Standard</v>
      </c>
      <c r="S20" s="4" t="str">
        <f t="shared" si="7"/>
        <v>Corporate</v>
      </c>
      <c r="T20" s="4" t="str">
        <f t="shared" si="8"/>
        <v>Yes</v>
      </c>
      <c r="U20" s="13" t="str">
        <f t="shared" si="9"/>
        <v>Yes</v>
      </c>
    </row>
    <row r="21" spans="1:21" x14ac:dyDescent="0.25">
      <c r="A21" s="14" t="s">
        <v>60</v>
      </c>
      <c r="B21" s="15">
        <v>46100</v>
      </c>
      <c r="C21" s="16" t="s">
        <v>38</v>
      </c>
      <c r="D21" s="16" t="s">
        <v>39</v>
      </c>
      <c r="E21" s="16" t="s">
        <v>43</v>
      </c>
      <c r="F21" s="16" t="s">
        <v>36</v>
      </c>
      <c r="G21" s="16">
        <v>22</v>
      </c>
      <c r="H21" s="17">
        <v>920</v>
      </c>
      <c r="I21" s="18">
        <v>0</v>
      </c>
      <c r="J21" s="16" t="s">
        <v>26</v>
      </c>
      <c r="K21" s="17">
        <f t="shared" si="0"/>
        <v>20240</v>
      </c>
      <c r="L21" s="17">
        <f t="shared" si="1"/>
        <v>20240</v>
      </c>
      <c r="M21" s="17">
        <f t="shared" si="2"/>
        <v>20240</v>
      </c>
      <c r="N21" s="16" t="str">
        <f t="shared" si="3"/>
        <v>Normal</v>
      </c>
      <c r="O21" s="16" t="str">
        <f t="shared" si="4"/>
        <v>O10</v>
      </c>
      <c r="P21" s="16">
        <f t="shared" si="5"/>
        <v>3</v>
      </c>
      <c r="Q21" s="6">
        <f>_xlfn.XLOOKUP(E21,Lookup!$A$2:$A$6,Lookup!$C$2:$C$6,"Not Found")</f>
        <v>900</v>
      </c>
      <c r="R21" s="16" t="str">
        <f t="shared" si="6"/>
        <v>Above Standard</v>
      </c>
      <c r="S21" s="16" t="str">
        <f t="shared" si="7"/>
        <v>Retail</v>
      </c>
      <c r="T21" s="16" t="str">
        <f t="shared" si="8"/>
        <v>No</v>
      </c>
      <c r="U21" s="19" t="str">
        <f t="shared" si="9"/>
        <v>No</v>
      </c>
    </row>
  </sheetData>
  <conditionalFormatting sqref="H2:H21">
    <cfRule type="cellIs" priority="1" operator="greaterThan">
      <formula>50000</formula>
    </cfRule>
  </conditionalFormatting>
  <conditionalFormatting sqref="I2:I21">
    <cfRule type="cellIs" priority="2" operator="greaterThanOrEqual">
      <formula>0.1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4" customWidth="1"/>
    <col min="3" max="3" width="10" customWidth="1"/>
    <col min="4" max="4" width="13" customWidth="1"/>
    <col min="5" max="5" width="12" customWidth="1"/>
    <col min="6" max="6" width="14" customWidth="1"/>
    <col min="7" max="7" width="9" customWidth="1"/>
    <col min="8" max="8" width="14" customWidth="1"/>
    <col min="9" max="9" width="11" customWidth="1"/>
    <col min="10" max="10" width="14" customWidth="1"/>
    <col min="11" max="12" width="15" customWidth="1"/>
    <col min="13" max="13" width="18" customWidth="1"/>
    <col min="14" max="14" width="13" customWidth="1"/>
    <col min="15" max="15" width="14" customWidth="1"/>
    <col min="16" max="16" width="13" customWidth="1"/>
    <col min="17" max="17" width="15" customWidth="1"/>
    <col min="18" max="18" width="17" customWidth="1"/>
    <col min="19" max="19" width="22" customWidth="1"/>
    <col min="20" max="21" width="17" customWidth="1"/>
  </cols>
  <sheetData>
    <row r="1" spans="1:21" x14ac:dyDescent="0.25">
      <c r="A1" s="3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25">
      <c r="A2" s="4" t="s">
        <v>56</v>
      </c>
      <c r="B2" s="10">
        <v>46078</v>
      </c>
      <c r="C2" s="4" t="s">
        <v>38</v>
      </c>
      <c r="D2" s="4" t="s">
        <v>39</v>
      </c>
      <c r="E2" s="4" t="s">
        <v>24</v>
      </c>
      <c r="F2" s="4" t="s">
        <v>25</v>
      </c>
      <c r="G2" s="4">
        <v>3</v>
      </c>
      <c r="H2" s="6">
        <v>57000</v>
      </c>
      <c r="I2" s="11">
        <v>0.05</v>
      </c>
      <c r="J2" s="4" t="s">
        <v>31</v>
      </c>
      <c r="K2" s="6">
        <v>171000</v>
      </c>
      <c r="L2" s="6">
        <v>162450</v>
      </c>
      <c r="M2" s="6">
        <v>162450</v>
      </c>
      <c r="N2" s="4" t="s">
        <v>61</v>
      </c>
      <c r="O2" s="4" t="s">
        <v>62</v>
      </c>
      <c r="P2" s="4">
        <v>2</v>
      </c>
      <c r="Q2" s="6">
        <v>55000</v>
      </c>
      <c r="R2" s="4" t="s">
        <v>63</v>
      </c>
      <c r="S2" s="4" t="s">
        <v>31</v>
      </c>
      <c r="T2" s="4" t="s">
        <v>64</v>
      </c>
      <c r="U2" s="4" t="s">
        <v>65</v>
      </c>
    </row>
    <row r="3" spans="1:21" x14ac:dyDescent="0.25">
      <c r="A3" s="4" t="s">
        <v>52</v>
      </c>
      <c r="B3" s="10">
        <v>46062</v>
      </c>
      <c r="C3" s="4" t="s">
        <v>38</v>
      </c>
      <c r="D3" s="4" t="s">
        <v>39</v>
      </c>
      <c r="E3" s="4" t="s">
        <v>30</v>
      </c>
      <c r="F3" s="4" t="s">
        <v>25</v>
      </c>
      <c r="G3" s="4">
        <v>8</v>
      </c>
      <c r="H3" s="6">
        <v>18200</v>
      </c>
      <c r="I3" s="11">
        <v>0</v>
      </c>
      <c r="J3" s="4" t="s">
        <v>26</v>
      </c>
      <c r="K3" s="6">
        <v>145600</v>
      </c>
      <c r="L3" s="6">
        <v>145600</v>
      </c>
      <c r="M3" s="6">
        <v>145600</v>
      </c>
      <c r="N3" s="4" t="s">
        <v>61</v>
      </c>
      <c r="O3" s="4" t="s">
        <v>62</v>
      </c>
      <c r="P3" s="4">
        <v>2</v>
      </c>
      <c r="Q3" s="6">
        <v>18000</v>
      </c>
      <c r="R3" s="4" t="s">
        <v>63</v>
      </c>
      <c r="S3" s="4" t="s">
        <v>26</v>
      </c>
      <c r="T3" s="4" t="s">
        <v>65</v>
      </c>
      <c r="U3" s="4" t="s">
        <v>65</v>
      </c>
    </row>
    <row r="4" spans="1:21" x14ac:dyDescent="0.25">
      <c r="A4" s="4" t="s">
        <v>37</v>
      </c>
      <c r="B4" s="10">
        <v>46034</v>
      </c>
      <c r="C4" s="4" t="s">
        <v>38</v>
      </c>
      <c r="D4" s="4" t="s">
        <v>39</v>
      </c>
      <c r="E4" s="4" t="s">
        <v>40</v>
      </c>
      <c r="F4" s="4" t="s">
        <v>41</v>
      </c>
      <c r="G4" s="4">
        <v>4</v>
      </c>
      <c r="H4" s="6">
        <v>14500</v>
      </c>
      <c r="I4" s="11">
        <v>0.05</v>
      </c>
      <c r="J4" s="4" t="s">
        <v>31</v>
      </c>
      <c r="K4" s="6">
        <v>58000</v>
      </c>
      <c r="L4" s="6">
        <v>55100</v>
      </c>
      <c r="M4" s="6">
        <v>55100</v>
      </c>
      <c r="N4" s="4" t="s">
        <v>66</v>
      </c>
      <c r="O4" s="4" t="s">
        <v>62</v>
      </c>
      <c r="P4" s="4">
        <v>1</v>
      </c>
      <c r="Q4" s="6">
        <v>15000</v>
      </c>
      <c r="R4" s="4" t="s">
        <v>67</v>
      </c>
      <c r="S4" s="4" t="s">
        <v>31</v>
      </c>
      <c r="T4" s="4" t="s">
        <v>64</v>
      </c>
      <c r="U4" s="4" t="s">
        <v>65</v>
      </c>
    </row>
    <row r="5" spans="1:21" x14ac:dyDescent="0.25">
      <c r="A5" s="4" t="s">
        <v>47</v>
      </c>
      <c r="B5" s="10">
        <v>46046</v>
      </c>
      <c r="C5" s="4" t="s">
        <v>38</v>
      </c>
      <c r="D5" s="4" t="s">
        <v>39</v>
      </c>
      <c r="E5" s="4" t="s">
        <v>35</v>
      </c>
      <c r="F5" s="4" t="s">
        <v>36</v>
      </c>
      <c r="G5" s="4">
        <v>15</v>
      </c>
      <c r="H5" s="6">
        <v>2100</v>
      </c>
      <c r="I5" s="11">
        <v>0.1</v>
      </c>
      <c r="J5" s="4" t="s">
        <v>26</v>
      </c>
      <c r="K5" s="6">
        <v>31500</v>
      </c>
      <c r="L5" s="6">
        <v>28350</v>
      </c>
      <c r="M5" s="6">
        <v>28350</v>
      </c>
      <c r="N5" s="4" t="s">
        <v>66</v>
      </c>
      <c r="O5" s="4" t="s">
        <v>62</v>
      </c>
      <c r="P5" s="4">
        <v>1</v>
      </c>
      <c r="Q5" s="6">
        <v>2200</v>
      </c>
      <c r="R5" s="4" t="s">
        <v>67</v>
      </c>
      <c r="S5" s="4" t="s">
        <v>26</v>
      </c>
      <c r="T5" s="4" t="s">
        <v>65</v>
      </c>
      <c r="U5" s="4" t="s">
        <v>65</v>
      </c>
    </row>
    <row r="6" spans="1:21" x14ac:dyDescent="0.25">
      <c r="A6" s="4" t="s">
        <v>60</v>
      </c>
      <c r="B6" s="10">
        <v>46100</v>
      </c>
      <c r="C6" s="4" t="s">
        <v>38</v>
      </c>
      <c r="D6" s="4" t="s">
        <v>39</v>
      </c>
      <c r="E6" s="4" t="s">
        <v>43</v>
      </c>
      <c r="F6" s="4" t="s">
        <v>36</v>
      </c>
      <c r="G6" s="4">
        <v>22</v>
      </c>
      <c r="H6" s="6">
        <v>920</v>
      </c>
      <c r="I6" s="11">
        <v>0</v>
      </c>
      <c r="J6" s="4" t="s">
        <v>26</v>
      </c>
      <c r="K6" s="6">
        <v>20240</v>
      </c>
      <c r="L6" s="6">
        <v>20240</v>
      </c>
      <c r="M6" s="6">
        <v>20240</v>
      </c>
      <c r="N6" s="4" t="s">
        <v>66</v>
      </c>
      <c r="O6" s="4" t="s">
        <v>62</v>
      </c>
      <c r="P6" s="4">
        <v>3</v>
      </c>
      <c r="Q6" s="6">
        <v>900</v>
      </c>
      <c r="R6" s="4" t="s">
        <v>63</v>
      </c>
      <c r="S6" s="4" t="s">
        <v>26</v>
      </c>
      <c r="T6" s="4" t="s">
        <v>65</v>
      </c>
      <c r="U6" s="4" t="s">
        <v>65</v>
      </c>
    </row>
    <row r="7" spans="1:21" x14ac:dyDescent="0.25">
      <c r="A7" s="4" t="s">
        <v>21</v>
      </c>
      <c r="B7" s="10">
        <v>46027</v>
      </c>
      <c r="C7" s="4" t="s">
        <v>22</v>
      </c>
      <c r="D7" s="4" t="s">
        <v>23</v>
      </c>
      <c r="E7" s="4" t="s">
        <v>24</v>
      </c>
      <c r="F7" s="4" t="s">
        <v>25</v>
      </c>
      <c r="G7" s="4">
        <v>3</v>
      </c>
      <c r="H7" s="6">
        <v>55000</v>
      </c>
      <c r="I7" s="11">
        <v>0.05</v>
      </c>
      <c r="J7" s="4" t="s">
        <v>26</v>
      </c>
      <c r="K7" s="6">
        <v>165000</v>
      </c>
      <c r="L7" s="6">
        <v>156750</v>
      </c>
      <c r="M7" s="6">
        <v>156750</v>
      </c>
      <c r="N7" s="4" t="s">
        <v>61</v>
      </c>
      <c r="O7" s="4" t="s">
        <v>62</v>
      </c>
      <c r="P7" s="4">
        <v>1</v>
      </c>
      <c r="Q7" s="6">
        <v>55000</v>
      </c>
      <c r="R7" s="4" t="s">
        <v>67</v>
      </c>
      <c r="S7" s="4" t="s">
        <v>26</v>
      </c>
      <c r="T7" s="4" t="s">
        <v>65</v>
      </c>
      <c r="U7" s="4" t="s">
        <v>64</v>
      </c>
    </row>
    <row r="8" spans="1:21" x14ac:dyDescent="0.25">
      <c r="A8" s="4" t="s">
        <v>57</v>
      </c>
      <c r="B8" s="10">
        <v>46084</v>
      </c>
      <c r="C8" s="4" t="s">
        <v>22</v>
      </c>
      <c r="D8" s="4" t="s">
        <v>23</v>
      </c>
      <c r="E8" s="4" t="s">
        <v>30</v>
      </c>
      <c r="F8" s="4" t="s">
        <v>25</v>
      </c>
      <c r="G8" s="4">
        <v>6</v>
      </c>
      <c r="H8" s="6">
        <v>17900</v>
      </c>
      <c r="I8" s="11">
        <v>0</v>
      </c>
      <c r="J8" s="4" t="s">
        <v>26</v>
      </c>
      <c r="K8" s="6">
        <v>107400</v>
      </c>
      <c r="L8" s="6">
        <v>107400</v>
      </c>
      <c r="M8" s="6">
        <v>107400</v>
      </c>
      <c r="N8" s="4" t="s">
        <v>61</v>
      </c>
      <c r="O8" s="4" t="s">
        <v>62</v>
      </c>
      <c r="P8" s="4">
        <v>3</v>
      </c>
      <c r="Q8" s="6">
        <v>18000</v>
      </c>
      <c r="R8" s="4" t="s">
        <v>67</v>
      </c>
      <c r="S8" s="4" t="s">
        <v>26</v>
      </c>
      <c r="T8" s="4" t="s">
        <v>65</v>
      </c>
      <c r="U8" s="4" t="s">
        <v>64</v>
      </c>
    </row>
    <row r="9" spans="1:21" x14ac:dyDescent="0.25">
      <c r="A9" s="4" t="s">
        <v>48</v>
      </c>
      <c r="B9" s="10">
        <v>46050</v>
      </c>
      <c r="C9" s="4" t="s">
        <v>22</v>
      </c>
      <c r="D9" s="4" t="s">
        <v>49</v>
      </c>
      <c r="E9" s="4" t="s">
        <v>40</v>
      </c>
      <c r="F9" s="4" t="s">
        <v>41</v>
      </c>
      <c r="G9" s="4">
        <v>6</v>
      </c>
      <c r="H9" s="6">
        <v>15000</v>
      </c>
      <c r="I9" s="11">
        <v>0</v>
      </c>
      <c r="J9" s="4" t="s">
        <v>31</v>
      </c>
      <c r="K9" s="6">
        <v>90000</v>
      </c>
      <c r="L9" s="6">
        <v>90000</v>
      </c>
      <c r="M9" s="6">
        <v>90000</v>
      </c>
      <c r="N9" s="4" t="s">
        <v>66</v>
      </c>
      <c r="O9" s="4" t="s">
        <v>62</v>
      </c>
      <c r="P9" s="4">
        <v>1</v>
      </c>
      <c r="Q9" s="6">
        <v>15000</v>
      </c>
      <c r="R9" s="4" t="s">
        <v>67</v>
      </c>
      <c r="S9" s="4" t="s">
        <v>31</v>
      </c>
      <c r="T9" s="4" t="s">
        <v>65</v>
      </c>
      <c r="U9" s="4" t="s">
        <v>64</v>
      </c>
    </row>
    <row r="10" spans="1:21" x14ac:dyDescent="0.25">
      <c r="A10" s="4" t="s">
        <v>53</v>
      </c>
      <c r="B10" s="10">
        <v>46066</v>
      </c>
      <c r="C10" s="4" t="s">
        <v>22</v>
      </c>
      <c r="D10" s="4" t="s">
        <v>49</v>
      </c>
      <c r="E10" s="4" t="s">
        <v>35</v>
      </c>
      <c r="F10" s="4" t="s">
        <v>36</v>
      </c>
      <c r="G10" s="4">
        <v>10</v>
      </c>
      <c r="H10" s="6">
        <v>2300</v>
      </c>
      <c r="I10" s="11">
        <v>0.05</v>
      </c>
      <c r="J10" s="4" t="s">
        <v>26</v>
      </c>
      <c r="K10" s="6">
        <v>23000</v>
      </c>
      <c r="L10" s="6">
        <v>21850</v>
      </c>
      <c r="M10" s="6">
        <v>21850</v>
      </c>
      <c r="N10" s="4" t="s">
        <v>66</v>
      </c>
      <c r="O10" s="4" t="s">
        <v>62</v>
      </c>
      <c r="P10" s="4">
        <v>2</v>
      </c>
      <c r="Q10" s="6">
        <v>2200</v>
      </c>
      <c r="R10" s="4" t="s">
        <v>63</v>
      </c>
      <c r="S10" s="4" t="s">
        <v>26</v>
      </c>
      <c r="T10" s="4" t="s">
        <v>65</v>
      </c>
      <c r="U10" s="4" t="s">
        <v>64</v>
      </c>
    </row>
    <row r="11" spans="1:21" x14ac:dyDescent="0.25">
      <c r="A11" s="4" t="s">
        <v>42</v>
      </c>
      <c r="B11" s="10">
        <v>46037</v>
      </c>
      <c r="C11" s="4" t="s">
        <v>22</v>
      </c>
      <c r="D11" s="4" t="s">
        <v>23</v>
      </c>
      <c r="E11" s="4" t="s">
        <v>43</v>
      </c>
      <c r="F11" s="4" t="s">
        <v>36</v>
      </c>
      <c r="G11" s="4">
        <v>20</v>
      </c>
      <c r="H11" s="6">
        <v>900</v>
      </c>
      <c r="I11" s="11">
        <v>0</v>
      </c>
      <c r="J11" s="4" t="s">
        <v>26</v>
      </c>
      <c r="K11" s="6">
        <v>18000</v>
      </c>
      <c r="L11" s="6">
        <v>18000</v>
      </c>
      <c r="M11" s="6">
        <v>18000</v>
      </c>
      <c r="N11" s="4" t="s">
        <v>66</v>
      </c>
      <c r="O11" s="4" t="s">
        <v>62</v>
      </c>
      <c r="P11" s="4">
        <v>1</v>
      </c>
      <c r="Q11" s="6">
        <v>900</v>
      </c>
      <c r="R11" s="4" t="s">
        <v>67</v>
      </c>
      <c r="S11" s="4" t="s">
        <v>26</v>
      </c>
      <c r="T11" s="4" t="s">
        <v>65</v>
      </c>
      <c r="U11" s="4" t="s">
        <v>64</v>
      </c>
    </row>
    <row r="12" spans="1:21" x14ac:dyDescent="0.25">
      <c r="A12" s="4" t="s">
        <v>51</v>
      </c>
      <c r="B12" s="10">
        <v>46058</v>
      </c>
      <c r="C12" s="4" t="s">
        <v>33</v>
      </c>
      <c r="D12" s="4" t="s">
        <v>34</v>
      </c>
      <c r="E12" s="4" t="s">
        <v>24</v>
      </c>
      <c r="F12" s="4" t="s">
        <v>25</v>
      </c>
      <c r="G12" s="4">
        <v>4</v>
      </c>
      <c r="H12" s="6">
        <v>54500</v>
      </c>
      <c r="I12" s="11">
        <v>0.1</v>
      </c>
      <c r="J12" s="4" t="s">
        <v>31</v>
      </c>
      <c r="K12" s="6">
        <v>218000</v>
      </c>
      <c r="L12" s="6">
        <v>196200</v>
      </c>
      <c r="M12" s="6">
        <v>196200</v>
      </c>
      <c r="N12" s="4" t="s">
        <v>61</v>
      </c>
      <c r="O12" s="4" t="s">
        <v>62</v>
      </c>
      <c r="P12" s="4">
        <v>2</v>
      </c>
      <c r="Q12" s="6">
        <v>55000</v>
      </c>
      <c r="R12" s="4" t="s">
        <v>67</v>
      </c>
      <c r="S12" s="4" t="s">
        <v>31</v>
      </c>
      <c r="T12" s="4" t="s">
        <v>64</v>
      </c>
      <c r="U12" s="4" t="s">
        <v>64</v>
      </c>
    </row>
    <row r="13" spans="1:21" x14ac:dyDescent="0.25">
      <c r="A13" s="4" t="s">
        <v>46</v>
      </c>
      <c r="B13" s="10">
        <v>46043</v>
      </c>
      <c r="C13" s="4" t="s">
        <v>33</v>
      </c>
      <c r="D13" s="4" t="s">
        <v>34</v>
      </c>
      <c r="E13" s="4" t="s">
        <v>30</v>
      </c>
      <c r="F13" s="4" t="s">
        <v>25</v>
      </c>
      <c r="G13" s="4">
        <v>7</v>
      </c>
      <c r="H13" s="6">
        <v>17500</v>
      </c>
      <c r="I13" s="11">
        <v>0.05</v>
      </c>
      <c r="J13" s="4" t="s">
        <v>26</v>
      </c>
      <c r="K13" s="6">
        <v>122500</v>
      </c>
      <c r="L13" s="6">
        <v>116375</v>
      </c>
      <c r="M13" s="6">
        <v>116375</v>
      </c>
      <c r="N13" s="4" t="s">
        <v>61</v>
      </c>
      <c r="O13" s="4" t="s">
        <v>62</v>
      </c>
      <c r="P13" s="4">
        <v>1</v>
      </c>
      <c r="Q13" s="6">
        <v>18000</v>
      </c>
      <c r="R13" s="4" t="s">
        <v>67</v>
      </c>
      <c r="S13" s="4" t="s">
        <v>26</v>
      </c>
      <c r="T13" s="4" t="s">
        <v>65</v>
      </c>
      <c r="U13" s="4" t="s">
        <v>64</v>
      </c>
    </row>
    <row r="14" spans="1:21" x14ac:dyDescent="0.25">
      <c r="A14" s="4" t="s">
        <v>59</v>
      </c>
      <c r="B14" s="10">
        <v>46095</v>
      </c>
      <c r="C14" s="4" t="s">
        <v>33</v>
      </c>
      <c r="D14" s="4" t="s">
        <v>34</v>
      </c>
      <c r="E14" s="4" t="s">
        <v>40</v>
      </c>
      <c r="F14" s="4" t="s">
        <v>41</v>
      </c>
      <c r="G14" s="4">
        <v>7</v>
      </c>
      <c r="H14" s="6">
        <v>14600</v>
      </c>
      <c r="I14" s="11">
        <v>0.05</v>
      </c>
      <c r="J14" s="4" t="s">
        <v>31</v>
      </c>
      <c r="K14" s="6">
        <v>102200</v>
      </c>
      <c r="L14" s="6">
        <v>97090</v>
      </c>
      <c r="M14" s="6">
        <v>97090</v>
      </c>
      <c r="N14" s="4" t="s">
        <v>66</v>
      </c>
      <c r="O14" s="4" t="s">
        <v>62</v>
      </c>
      <c r="P14" s="4">
        <v>3</v>
      </c>
      <c r="Q14" s="6">
        <v>15000</v>
      </c>
      <c r="R14" s="4" t="s">
        <v>67</v>
      </c>
      <c r="S14" s="4" t="s">
        <v>31</v>
      </c>
      <c r="T14" s="4" t="s">
        <v>64</v>
      </c>
      <c r="U14" s="4" t="s">
        <v>64</v>
      </c>
    </row>
    <row r="15" spans="1:21" x14ac:dyDescent="0.25">
      <c r="A15" s="4" t="s">
        <v>32</v>
      </c>
      <c r="B15" s="10">
        <v>46031</v>
      </c>
      <c r="C15" s="4" t="s">
        <v>33</v>
      </c>
      <c r="D15" s="4" t="s">
        <v>34</v>
      </c>
      <c r="E15" s="4" t="s">
        <v>35</v>
      </c>
      <c r="F15" s="4" t="s">
        <v>36</v>
      </c>
      <c r="G15" s="4">
        <v>12</v>
      </c>
      <c r="H15" s="6">
        <v>2200</v>
      </c>
      <c r="I15" s="11">
        <v>0.1</v>
      </c>
      <c r="J15" s="4" t="s">
        <v>26</v>
      </c>
      <c r="K15" s="6">
        <v>26400</v>
      </c>
      <c r="L15" s="6">
        <v>23760</v>
      </c>
      <c r="M15" s="6">
        <v>23760</v>
      </c>
      <c r="N15" s="4" t="s">
        <v>66</v>
      </c>
      <c r="O15" s="4" t="s">
        <v>62</v>
      </c>
      <c r="P15" s="4">
        <v>1</v>
      </c>
      <c r="Q15" s="6">
        <v>2200</v>
      </c>
      <c r="R15" s="4" t="s">
        <v>67</v>
      </c>
      <c r="S15" s="4" t="s">
        <v>26</v>
      </c>
      <c r="T15" s="4" t="s">
        <v>65</v>
      </c>
      <c r="U15" s="4" t="s">
        <v>64</v>
      </c>
    </row>
    <row r="16" spans="1:21" x14ac:dyDescent="0.25">
      <c r="A16" s="4" t="s">
        <v>55</v>
      </c>
      <c r="B16" s="10">
        <v>46074</v>
      </c>
      <c r="C16" s="4" t="s">
        <v>33</v>
      </c>
      <c r="D16" s="4" t="s">
        <v>34</v>
      </c>
      <c r="E16" s="4" t="s">
        <v>43</v>
      </c>
      <c r="F16" s="4" t="s">
        <v>36</v>
      </c>
      <c r="G16" s="4">
        <v>18</v>
      </c>
      <c r="H16" s="6">
        <v>880</v>
      </c>
      <c r="I16" s="11">
        <v>0</v>
      </c>
      <c r="J16" s="4" t="s">
        <v>26</v>
      </c>
      <c r="K16" s="6">
        <v>15840</v>
      </c>
      <c r="L16" s="6">
        <v>15840</v>
      </c>
      <c r="M16" s="6">
        <v>15840</v>
      </c>
      <c r="N16" s="4" t="s">
        <v>66</v>
      </c>
      <c r="O16" s="4" t="s">
        <v>62</v>
      </c>
      <c r="P16" s="4">
        <v>2</v>
      </c>
      <c r="Q16" s="6">
        <v>900</v>
      </c>
      <c r="R16" s="4" t="s">
        <v>67</v>
      </c>
      <c r="S16" s="4" t="s">
        <v>26</v>
      </c>
      <c r="T16" s="4" t="s">
        <v>65</v>
      </c>
      <c r="U16" s="4" t="s">
        <v>64</v>
      </c>
    </row>
    <row r="17" spans="1:21" x14ac:dyDescent="0.25">
      <c r="A17" s="4" t="s">
        <v>44</v>
      </c>
      <c r="B17" s="10">
        <v>46040</v>
      </c>
      <c r="C17" s="4" t="s">
        <v>28</v>
      </c>
      <c r="D17" s="4" t="s">
        <v>45</v>
      </c>
      <c r="E17" s="4" t="s">
        <v>24</v>
      </c>
      <c r="F17" s="4" t="s">
        <v>25</v>
      </c>
      <c r="G17" s="4">
        <v>2</v>
      </c>
      <c r="H17" s="6">
        <v>56000</v>
      </c>
      <c r="I17" s="11">
        <v>0.08</v>
      </c>
      <c r="J17" s="4" t="s">
        <v>31</v>
      </c>
      <c r="K17" s="6">
        <v>112000</v>
      </c>
      <c r="L17" s="6">
        <v>103040</v>
      </c>
      <c r="M17" s="6">
        <v>103040</v>
      </c>
      <c r="N17" s="4" t="s">
        <v>61</v>
      </c>
      <c r="O17" s="4" t="s">
        <v>62</v>
      </c>
      <c r="P17" s="4">
        <v>1</v>
      </c>
      <c r="Q17" s="6">
        <v>55000</v>
      </c>
      <c r="R17" s="4" t="s">
        <v>63</v>
      </c>
      <c r="S17" s="4" t="s">
        <v>31</v>
      </c>
      <c r="T17" s="4" t="s">
        <v>64</v>
      </c>
      <c r="U17" s="4" t="s">
        <v>65</v>
      </c>
    </row>
    <row r="18" spans="1:21" x14ac:dyDescent="0.25">
      <c r="A18" s="4" t="s">
        <v>27</v>
      </c>
      <c r="B18" s="10">
        <v>46029</v>
      </c>
      <c r="C18" s="4" t="s">
        <v>28</v>
      </c>
      <c r="D18" s="4" t="s">
        <v>29</v>
      </c>
      <c r="E18" s="4" t="s">
        <v>30</v>
      </c>
      <c r="F18" s="4" t="s">
        <v>25</v>
      </c>
      <c r="G18" s="4">
        <v>5</v>
      </c>
      <c r="H18" s="6">
        <v>18000</v>
      </c>
      <c r="I18" s="11">
        <v>0</v>
      </c>
      <c r="J18" s="4" t="s">
        <v>31</v>
      </c>
      <c r="K18" s="6">
        <v>90000</v>
      </c>
      <c r="L18" s="6">
        <v>90000</v>
      </c>
      <c r="M18" s="6">
        <v>90000</v>
      </c>
      <c r="N18" s="4" t="s">
        <v>66</v>
      </c>
      <c r="O18" s="4" t="s">
        <v>62</v>
      </c>
      <c r="P18" s="4">
        <v>1</v>
      </c>
      <c r="Q18" s="6">
        <v>18000</v>
      </c>
      <c r="R18" s="4" t="s">
        <v>67</v>
      </c>
      <c r="S18" s="4" t="s">
        <v>31</v>
      </c>
      <c r="T18" s="4" t="s">
        <v>65</v>
      </c>
      <c r="U18" s="4" t="s">
        <v>65</v>
      </c>
    </row>
    <row r="19" spans="1:21" x14ac:dyDescent="0.25">
      <c r="A19" s="4" t="s">
        <v>54</v>
      </c>
      <c r="B19" s="10">
        <v>46070</v>
      </c>
      <c r="C19" s="4" t="s">
        <v>28</v>
      </c>
      <c r="D19" s="4" t="s">
        <v>45</v>
      </c>
      <c r="E19" s="4" t="s">
        <v>40</v>
      </c>
      <c r="F19" s="4" t="s">
        <v>41</v>
      </c>
      <c r="G19" s="4">
        <v>5</v>
      </c>
      <c r="H19" s="6">
        <v>14800</v>
      </c>
      <c r="I19" s="11">
        <v>0.08</v>
      </c>
      <c r="J19" s="4" t="s">
        <v>31</v>
      </c>
      <c r="K19" s="6">
        <v>74000</v>
      </c>
      <c r="L19" s="6">
        <v>68080</v>
      </c>
      <c r="M19" s="6">
        <v>68080</v>
      </c>
      <c r="N19" s="4" t="s">
        <v>66</v>
      </c>
      <c r="O19" s="4" t="s">
        <v>62</v>
      </c>
      <c r="P19" s="4">
        <v>2</v>
      </c>
      <c r="Q19" s="6">
        <v>15000</v>
      </c>
      <c r="R19" s="4" t="s">
        <v>67</v>
      </c>
      <c r="S19" s="4" t="s">
        <v>31</v>
      </c>
      <c r="T19" s="4" t="s">
        <v>64</v>
      </c>
      <c r="U19" s="4" t="s">
        <v>65</v>
      </c>
    </row>
    <row r="20" spans="1:21" x14ac:dyDescent="0.25">
      <c r="A20" s="4" t="s">
        <v>58</v>
      </c>
      <c r="B20" s="10">
        <v>46089</v>
      </c>
      <c r="C20" s="4" t="s">
        <v>28</v>
      </c>
      <c r="D20" s="4" t="s">
        <v>45</v>
      </c>
      <c r="E20" s="4" t="s">
        <v>35</v>
      </c>
      <c r="F20" s="4" t="s">
        <v>36</v>
      </c>
      <c r="G20" s="4">
        <v>14</v>
      </c>
      <c r="H20" s="6">
        <v>2250</v>
      </c>
      <c r="I20" s="11">
        <v>0.1</v>
      </c>
      <c r="J20" s="4" t="s">
        <v>26</v>
      </c>
      <c r="K20" s="6">
        <v>31500</v>
      </c>
      <c r="L20" s="6">
        <v>28350</v>
      </c>
      <c r="M20" s="6">
        <v>28350</v>
      </c>
      <c r="N20" s="4" t="s">
        <v>66</v>
      </c>
      <c r="O20" s="4" t="s">
        <v>62</v>
      </c>
      <c r="P20" s="4">
        <v>3</v>
      </c>
      <c r="Q20" s="6">
        <v>2200</v>
      </c>
      <c r="R20" s="4" t="s">
        <v>63</v>
      </c>
      <c r="S20" s="4" t="s">
        <v>26</v>
      </c>
      <c r="T20" s="4" t="s">
        <v>65</v>
      </c>
      <c r="U20" s="4" t="s">
        <v>65</v>
      </c>
    </row>
    <row r="21" spans="1:21" x14ac:dyDescent="0.25">
      <c r="A21" s="4" t="s">
        <v>50</v>
      </c>
      <c r="B21" s="10">
        <v>46055</v>
      </c>
      <c r="C21" s="4" t="s">
        <v>28</v>
      </c>
      <c r="D21" s="4" t="s">
        <v>45</v>
      </c>
      <c r="E21" s="4" t="s">
        <v>43</v>
      </c>
      <c r="F21" s="4" t="s">
        <v>36</v>
      </c>
      <c r="G21" s="4">
        <v>25</v>
      </c>
      <c r="H21" s="6">
        <v>850</v>
      </c>
      <c r="I21" s="11">
        <v>0.05</v>
      </c>
      <c r="J21" s="4" t="s">
        <v>26</v>
      </c>
      <c r="K21" s="6">
        <v>21250</v>
      </c>
      <c r="L21" s="6">
        <v>20187.5</v>
      </c>
      <c r="M21" s="6">
        <v>20188</v>
      </c>
      <c r="N21" s="4" t="s">
        <v>66</v>
      </c>
      <c r="O21" s="4" t="s">
        <v>62</v>
      </c>
      <c r="P21" s="4">
        <v>2</v>
      </c>
      <c r="Q21" s="6">
        <v>900</v>
      </c>
      <c r="R21" s="4" t="s">
        <v>67</v>
      </c>
      <c r="S21" s="4" t="s">
        <v>26</v>
      </c>
      <c r="T21" s="4" t="s">
        <v>65</v>
      </c>
      <c r="U21" s="4" t="s">
        <v>65</v>
      </c>
    </row>
  </sheetData>
  <autoFilter ref="A1:U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"/>
  <sheetViews>
    <sheetView showGridLines="0"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1" width="12" customWidth="1"/>
    <col min="2" max="2" width="14" customWidth="1"/>
    <col min="3" max="3" width="10" customWidth="1"/>
    <col min="4" max="4" width="13.85546875" customWidth="1"/>
    <col min="5" max="5" width="12" customWidth="1"/>
    <col min="6" max="6" width="14" customWidth="1"/>
    <col min="7" max="7" width="9" customWidth="1"/>
    <col min="8" max="8" width="14" customWidth="1"/>
    <col min="9" max="9" width="11" customWidth="1"/>
    <col min="10" max="10" width="16.42578125" customWidth="1"/>
    <col min="11" max="12" width="15" customWidth="1"/>
    <col min="13" max="13" width="19.85546875" customWidth="1"/>
    <col min="14" max="14" width="14.5703125" customWidth="1"/>
    <col min="15" max="15" width="14" customWidth="1"/>
    <col min="16" max="16" width="16.85546875" customWidth="1"/>
    <col min="17" max="17" width="15.85546875" customWidth="1"/>
    <col min="18" max="18" width="17" customWidth="1"/>
    <col min="19" max="19" width="23.85546875" customWidth="1"/>
    <col min="20" max="21" width="17" customWidth="1"/>
  </cols>
  <sheetData>
    <row r="1" spans="1:21" x14ac:dyDescent="0.25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2" t="s">
        <v>20</v>
      </c>
    </row>
    <row r="2" spans="1:21" x14ac:dyDescent="0.25">
      <c r="A2" s="23" t="s">
        <v>27</v>
      </c>
      <c r="B2" s="24">
        <v>46029</v>
      </c>
      <c r="C2" s="25" t="s">
        <v>28</v>
      </c>
      <c r="D2" s="25" t="s">
        <v>29</v>
      </c>
      <c r="E2" s="25" t="s">
        <v>30</v>
      </c>
      <c r="F2" s="25" t="s">
        <v>25</v>
      </c>
      <c r="G2" s="25">
        <v>5</v>
      </c>
      <c r="H2" s="26">
        <v>18000</v>
      </c>
      <c r="I2" s="27">
        <v>0</v>
      </c>
      <c r="J2" s="25" t="s">
        <v>31</v>
      </c>
      <c r="K2" s="26">
        <v>90000</v>
      </c>
      <c r="L2" s="26">
        <v>90000</v>
      </c>
      <c r="M2" s="26">
        <v>90000</v>
      </c>
      <c r="N2" s="25" t="s">
        <v>66</v>
      </c>
      <c r="O2" s="25" t="s">
        <v>62</v>
      </c>
      <c r="P2" s="25">
        <v>1</v>
      </c>
      <c r="Q2" s="26">
        <v>18000</v>
      </c>
      <c r="R2" s="25" t="s">
        <v>67</v>
      </c>
      <c r="S2" s="25" t="s">
        <v>31</v>
      </c>
      <c r="T2" s="25" t="s">
        <v>65</v>
      </c>
      <c r="U2" s="28" t="s">
        <v>65</v>
      </c>
    </row>
    <row r="3" spans="1:21" x14ac:dyDescent="0.25">
      <c r="A3" s="23" t="s">
        <v>44</v>
      </c>
      <c r="B3" s="24">
        <v>46040</v>
      </c>
      <c r="C3" s="25" t="s">
        <v>28</v>
      </c>
      <c r="D3" s="25" t="s">
        <v>45</v>
      </c>
      <c r="E3" s="25" t="s">
        <v>24</v>
      </c>
      <c r="F3" s="25" t="s">
        <v>25</v>
      </c>
      <c r="G3" s="25">
        <v>2</v>
      </c>
      <c r="H3" s="26">
        <v>56000</v>
      </c>
      <c r="I3" s="27">
        <v>0.08</v>
      </c>
      <c r="J3" s="25" t="s">
        <v>31</v>
      </c>
      <c r="K3" s="26">
        <v>112000</v>
      </c>
      <c r="L3" s="26">
        <v>103040</v>
      </c>
      <c r="M3" s="26">
        <v>103040</v>
      </c>
      <c r="N3" s="25" t="s">
        <v>61</v>
      </c>
      <c r="O3" s="25" t="s">
        <v>62</v>
      </c>
      <c r="P3" s="25">
        <v>1</v>
      </c>
      <c r="Q3" s="26">
        <v>55000</v>
      </c>
      <c r="R3" s="25" t="s">
        <v>63</v>
      </c>
      <c r="S3" s="25" t="s">
        <v>31</v>
      </c>
      <c r="T3" s="25" t="s">
        <v>64</v>
      </c>
      <c r="U3" s="28" t="s">
        <v>65</v>
      </c>
    </row>
    <row r="4" spans="1:21" x14ac:dyDescent="0.25">
      <c r="A4" s="23" t="s">
        <v>48</v>
      </c>
      <c r="B4" s="24">
        <v>46050</v>
      </c>
      <c r="C4" s="25" t="s">
        <v>22</v>
      </c>
      <c r="D4" s="25" t="s">
        <v>49</v>
      </c>
      <c r="E4" s="25" t="s">
        <v>40</v>
      </c>
      <c r="F4" s="25" t="s">
        <v>41</v>
      </c>
      <c r="G4" s="25">
        <v>6</v>
      </c>
      <c r="H4" s="26">
        <v>15000</v>
      </c>
      <c r="I4" s="27">
        <v>0</v>
      </c>
      <c r="J4" s="25" t="s">
        <v>31</v>
      </c>
      <c r="K4" s="26">
        <v>90000</v>
      </c>
      <c r="L4" s="26">
        <v>90000</v>
      </c>
      <c r="M4" s="26">
        <v>90000</v>
      </c>
      <c r="N4" s="25" t="s">
        <v>66</v>
      </c>
      <c r="O4" s="25" t="s">
        <v>62</v>
      </c>
      <c r="P4" s="25">
        <v>1</v>
      </c>
      <c r="Q4" s="26">
        <v>15000</v>
      </c>
      <c r="R4" s="25" t="s">
        <v>67</v>
      </c>
      <c r="S4" s="25" t="s">
        <v>31</v>
      </c>
      <c r="T4" s="25" t="s">
        <v>65</v>
      </c>
      <c r="U4" s="28" t="s">
        <v>64</v>
      </c>
    </row>
    <row r="5" spans="1:21" x14ac:dyDescent="0.25">
      <c r="A5" s="29" t="s">
        <v>54</v>
      </c>
      <c r="B5" s="30">
        <v>46070</v>
      </c>
      <c r="C5" s="31" t="s">
        <v>28</v>
      </c>
      <c r="D5" s="31" t="s">
        <v>45</v>
      </c>
      <c r="E5" s="31" t="s">
        <v>40</v>
      </c>
      <c r="F5" s="31" t="s">
        <v>41</v>
      </c>
      <c r="G5" s="31">
        <v>5</v>
      </c>
      <c r="H5" s="32">
        <v>14800</v>
      </c>
      <c r="I5" s="33">
        <v>0.08</v>
      </c>
      <c r="J5" s="31" t="s">
        <v>31</v>
      </c>
      <c r="K5" s="32">
        <v>74000</v>
      </c>
      <c r="L5" s="32">
        <v>68080</v>
      </c>
      <c r="M5" s="32">
        <v>68080</v>
      </c>
      <c r="N5" s="31" t="s">
        <v>66</v>
      </c>
      <c r="O5" s="31" t="s">
        <v>62</v>
      </c>
      <c r="P5" s="31">
        <v>2</v>
      </c>
      <c r="Q5" s="32">
        <v>15000</v>
      </c>
      <c r="R5" s="31" t="s">
        <v>67</v>
      </c>
      <c r="S5" s="31" t="s">
        <v>31</v>
      </c>
      <c r="T5" s="31" t="s">
        <v>64</v>
      </c>
      <c r="U5" s="34" t="s">
        <v>65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selection activeCell="F3" sqref="F3"/>
    </sheetView>
  </sheetViews>
  <sheetFormatPr defaultRowHeight="15" x14ac:dyDescent="0.25"/>
  <cols>
    <col min="1" max="3" width="20" customWidth="1"/>
    <col min="5" max="6" width="20" customWidth="1"/>
  </cols>
  <sheetData>
    <row r="1" spans="1:6" x14ac:dyDescent="0.25">
      <c r="A1" s="5" t="s">
        <v>4</v>
      </c>
      <c r="B1" s="5" t="s">
        <v>5</v>
      </c>
      <c r="C1" s="5" t="s">
        <v>16</v>
      </c>
      <c r="E1" s="4" t="s">
        <v>68</v>
      </c>
      <c r="F1" s="4" t="s">
        <v>69</v>
      </c>
    </row>
    <row r="2" spans="1:6" x14ac:dyDescent="0.25">
      <c r="A2" s="4" t="s">
        <v>24</v>
      </c>
      <c r="B2" s="4" t="s">
        <v>25</v>
      </c>
      <c r="C2" s="6">
        <v>55000</v>
      </c>
      <c r="E2" s="4" t="s">
        <v>24</v>
      </c>
      <c r="F2" s="4" t="str">
        <f>_xlfn.XLOOKUP(E2,A2:A6,B2:B6,"Not Found")</f>
        <v>Electronics</v>
      </c>
    </row>
    <row r="3" spans="1:6" x14ac:dyDescent="0.25">
      <c r="A3" s="4" t="s">
        <v>30</v>
      </c>
      <c r="B3" s="4" t="s">
        <v>25</v>
      </c>
      <c r="C3" s="6">
        <v>18000</v>
      </c>
      <c r="E3" s="2"/>
      <c r="F3" s="2"/>
    </row>
    <row r="4" spans="1:6" x14ac:dyDescent="0.25">
      <c r="A4" s="4" t="s">
        <v>35</v>
      </c>
      <c r="B4" s="4" t="s">
        <v>36</v>
      </c>
      <c r="C4" s="6">
        <v>2200</v>
      </c>
      <c r="E4" s="4" t="s">
        <v>68</v>
      </c>
      <c r="F4" s="4" t="s">
        <v>70</v>
      </c>
    </row>
    <row r="5" spans="1:6" x14ac:dyDescent="0.25">
      <c r="A5" s="4" t="s">
        <v>40</v>
      </c>
      <c r="B5" s="4" t="s">
        <v>41</v>
      </c>
      <c r="C5" s="6">
        <v>15000</v>
      </c>
      <c r="E5" s="4" t="s">
        <v>40</v>
      </c>
      <c r="F5" s="4" t="str">
        <f>VLOOKUP(E5,A2:C6,2,FALSE)</f>
        <v>Office</v>
      </c>
    </row>
    <row r="6" spans="1:6" x14ac:dyDescent="0.25">
      <c r="A6" s="4" t="s">
        <v>43</v>
      </c>
      <c r="B6" s="4" t="s">
        <v>36</v>
      </c>
      <c r="C6" s="6">
        <v>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showGridLines="0" workbookViewId="0">
      <selection activeCell="E5" sqref="E5"/>
    </sheetView>
  </sheetViews>
  <sheetFormatPr defaultRowHeight="15" x14ac:dyDescent="0.25"/>
  <cols>
    <col min="1" max="1" width="38" customWidth="1"/>
    <col min="2" max="2" width="28" customWidth="1"/>
  </cols>
  <sheetData>
    <row r="1" spans="1:2" x14ac:dyDescent="0.25">
      <c r="A1" s="5" t="s">
        <v>71</v>
      </c>
      <c r="B1" s="5" t="s">
        <v>72</v>
      </c>
    </row>
    <row r="2" spans="1:2" x14ac:dyDescent="0.25">
      <c r="A2" s="4" t="s">
        <v>73</v>
      </c>
      <c r="B2" s="7">
        <f>SUM(SalesData!G2:G21)</f>
        <v>196</v>
      </c>
    </row>
    <row r="3" spans="1:2" x14ac:dyDescent="0.25">
      <c r="A3" s="4" t="s">
        <v>74</v>
      </c>
      <c r="B3" s="6">
        <f>SUM(SalesData!L2:L21)</f>
        <v>1564662.5</v>
      </c>
    </row>
    <row r="4" spans="1:2" x14ac:dyDescent="0.25">
      <c r="A4" s="4" t="s">
        <v>75</v>
      </c>
      <c r="B4" s="6">
        <f>AVERAGE(SalesData!H2:H21)</f>
        <v>18270</v>
      </c>
    </row>
    <row r="5" spans="1:2" x14ac:dyDescent="0.25">
      <c r="A5" s="4" t="s">
        <v>76</v>
      </c>
      <c r="B5" s="6">
        <f>MAX(SalesData!H2:H21)</f>
        <v>57000</v>
      </c>
    </row>
    <row r="6" spans="1:2" x14ac:dyDescent="0.25">
      <c r="A6" s="4" t="s">
        <v>77</v>
      </c>
      <c r="B6" s="6">
        <f>MIN(SalesData!H2:H21)</f>
        <v>850</v>
      </c>
    </row>
    <row r="7" spans="1:2" x14ac:dyDescent="0.25">
      <c r="A7" s="4" t="s">
        <v>78</v>
      </c>
      <c r="B7" s="7">
        <f>COUNT(SalesData!H2:H21)</f>
        <v>20</v>
      </c>
    </row>
    <row r="8" spans="1:2" x14ac:dyDescent="0.25">
      <c r="A8" s="4" t="s">
        <v>79</v>
      </c>
      <c r="B8" s="7">
        <f>COUNTA(SalesData!A2:A21)</f>
        <v>20</v>
      </c>
    </row>
    <row r="9" spans="1:2" x14ac:dyDescent="0.25">
      <c r="A9" s="4" t="s">
        <v>80</v>
      </c>
      <c r="B9" s="7">
        <f>COUNTIF(SalesData!F2:F21,"Electronics")</f>
        <v>8</v>
      </c>
    </row>
    <row r="10" spans="1:2" x14ac:dyDescent="0.25">
      <c r="A10" s="4" t="s">
        <v>81</v>
      </c>
      <c r="B10" s="6">
        <f>SUMIF(SalesData!C2:C21,"North",SalesData!L2:L21)</f>
        <v>394000</v>
      </c>
    </row>
    <row r="11" spans="1:2" x14ac:dyDescent="0.25">
      <c r="A11" s="4" t="s">
        <v>82</v>
      </c>
      <c r="B11" s="6">
        <f>SUMIFS(SalesData!L2:L21,SalesData!J2:J21,"Corporate",SalesData!C2:C21,"West")</f>
        <v>261120</v>
      </c>
    </row>
    <row r="12" spans="1:2" x14ac:dyDescent="0.25">
      <c r="A12" s="4" t="s">
        <v>83</v>
      </c>
      <c r="B12" s="7">
        <f>COUNTIFS(SalesData!F2:F21,"Accessories",SalesData!J2:J21,"Retail")</f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1"/>
  <sheetViews>
    <sheetView showGridLines="0" workbookViewId="0">
      <pane ySplit="2" topLeftCell="A3" activePane="bottomLeft" state="frozen"/>
      <selection pane="bottomLeft" sqref="A1:L41"/>
    </sheetView>
  </sheetViews>
  <sheetFormatPr defaultRowHeight="15" x14ac:dyDescent="0.25"/>
  <cols>
    <col min="1" max="13" width="18" customWidth="1"/>
  </cols>
  <sheetData>
    <row r="1" spans="1:12" ht="18.75" x14ac:dyDescent="0.25">
      <c r="A1" s="1" t="s">
        <v>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5.75" x14ac:dyDescent="0.25">
      <c r="A3" s="3" t="s">
        <v>85</v>
      </c>
      <c r="B3" s="2"/>
      <c r="C3" s="2"/>
      <c r="D3" s="2"/>
      <c r="E3" s="3" t="s">
        <v>86</v>
      </c>
      <c r="F3" s="2"/>
      <c r="G3" s="2"/>
      <c r="H3" s="4" t="s">
        <v>87</v>
      </c>
      <c r="I3" s="2"/>
      <c r="J3" s="2"/>
      <c r="K3" s="2"/>
      <c r="L3" s="2"/>
    </row>
    <row r="4" spans="1:12" x14ac:dyDescent="0.25">
      <c r="A4" s="5" t="s">
        <v>2</v>
      </c>
      <c r="B4" s="5" t="s">
        <v>11</v>
      </c>
      <c r="C4" s="2"/>
      <c r="D4" s="2"/>
      <c r="E4" s="5" t="s">
        <v>4</v>
      </c>
      <c r="F4" s="5" t="s">
        <v>6</v>
      </c>
      <c r="G4" s="2"/>
      <c r="H4" s="4" t="s">
        <v>88</v>
      </c>
      <c r="I4" s="2"/>
      <c r="J4" s="2"/>
      <c r="K4" s="2"/>
      <c r="L4" s="2"/>
    </row>
    <row r="5" spans="1:12" x14ac:dyDescent="0.25">
      <c r="A5" s="4" t="s">
        <v>38</v>
      </c>
      <c r="B5" s="6">
        <v>411740</v>
      </c>
      <c r="C5" s="2"/>
      <c r="D5" s="2"/>
      <c r="E5" s="4" t="s">
        <v>35</v>
      </c>
      <c r="F5" s="7">
        <v>51</v>
      </c>
      <c r="G5" s="2"/>
      <c r="H5" s="2"/>
      <c r="I5" s="2"/>
      <c r="J5" s="2"/>
      <c r="K5" s="2"/>
      <c r="L5" s="2"/>
    </row>
    <row r="6" spans="1:12" x14ac:dyDescent="0.25">
      <c r="A6" s="4" t="s">
        <v>22</v>
      </c>
      <c r="B6" s="6">
        <v>394000</v>
      </c>
      <c r="C6" s="2"/>
      <c r="D6" s="2"/>
      <c r="E6" s="4" t="s">
        <v>24</v>
      </c>
      <c r="F6" s="7">
        <v>12</v>
      </c>
      <c r="G6" s="2"/>
      <c r="H6" s="4" t="s">
        <v>89</v>
      </c>
      <c r="I6" s="6">
        <f>IF(H4="All",SUM(SalesData!L2:L21),SUMIF(SalesData!C2:C21,H4,SalesData!L2:L21))</f>
        <v>1564662.5</v>
      </c>
      <c r="J6" s="2"/>
      <c r="K6" s="2"/>
      <c r="L6" s="2"/>
    </row>
    <row r="7" spans="1:12" x14ac:dyDescent="0.25">
      <c r="A7" s="4" t="s">
        <v>33</v>
      </c>
      <c r="B7" s="6">
        <v>449265</v>
      </c>
      <c r="C7" s="2"/>
      <c r="D7" s="2"/>
      <c r="E7" s="4" t="s">
        <v>30</v>
      </c>
      <c r="F7" s="7">
        <v>26</v>
      </c>
      <c r="G7" s="2"/>
      <c r="H7" s="8" t="s">
        <v>90</v>
      </c>
      <c r="I7" s="9"/>
      <c r="J7" s="9"/>
      <c r="K7" s="9"/>
      <c r="L7" s="9"/>
    </row>
    <row r="8" spans="1:12" x14ac:dyDescent="0.25">
      <c r="A8" s="4" t="s">
        <v>28</v>
      </c>
      <c r="B8" s="6">
        <v>309657.5</v>
      </c>
      <c r="C8" s="2"/>
      <c r="D8" s="2"/>
      <c r="E8" s="4" t="s">
        <v>43</v>
      </c>
      <c r="F8" s="7">
        <v>85</v>
      </c>
      <c r="G8" s="2"/>
      <c r="H8" s="9"/>
      <c r="I8" s="9"/>
      <c r="J8" s="9"/>
      <c r="K8" s="9"/>
      <c r="L8" s="9"/>
    </row>
    <row r="9" spans="1:12" x14ac:dyDescent="0.25">
      <c r="A9" s="2"/>
      <c r="B9" s="2"/>
      <c r="C9" s="2"/>
      <c r="D9" s="2"/>
      <c r="E9" s="4" t="s">
        <v>40</v>
      </c>
      <c r="F9" s="7">
        <v>22</v>
      </c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5.75" x14ac:dyDescent="0.25">
      <c r="A12" s="3" t="s">
        <v>91</v>
      </c>
      <c r="B12" s="2"/>
      <c r="C12" s="2"/>
      <c r="D12" s="2"/>
      <c r="E12" s="2"/>
      <c r="F12" s="2"/>
      <c r="G12" s="3" t="s">
        <v>92</v>
      </c>
      <c r="H12" s="2"/>
      <c r="I12" s="2"/>
      <c r="J12" s="2"/>
      <c r="K12" s="2"/>
      <c r="L12" s="2"/>
    </row>
    <row r="13" spans="1:12" x14ac:dyDescent="0.25">
      <c r="A13" s="5" t="s">
        <v>2</v>
      </c>
      <c r="B13" s="5" t="s">
        <v>36</v>
      </c>
      <c r="C13" s="5" t="s">
        <v>25</v>
      </c>
      <c r="D13" s="5" t="s">
        <v>41</v>
      </c>
      <c r="E13" s="2"/>
      <c r="F13" s="2"/>
      <c r="G13" s="5" t="s">
        <v>3</v>
      </c>
      <c r="H13" s="5" t="s">
        <v>11</v>
      </c>
      <c r="I13" s="2"/>
      <c r="J13" s="2"/>
      <c r="K13" s="2"/>
      <c r="L13" s="2"/>
    </row>
    <row r="14" spans="1:12" x14ac:dyDescent="0.25">
      <c r="A14" s="4" t="s">
        <v>38</v>
      </c>
      <c r="B14" s="6">
        <v>48590</v>
      </c>
      <c r="C14" s="6">
        <v>308050</v>
      </c>
      <c r="D14" s="6">
        <v>55100</v>
      </c>
      <c r="E14" s="2"/>
      <c r="F14" s="2"/>
      <c r="G14" s="4" t="s">
        <v>23</v>
      </c>
      <c r="H14" s="6">
        <v>282150</v>
      </c>
      <c r="I14" s="2"/>
      <c r="J14" s="2"/>
      <c r="K14" s="2"/>
      <c r="L14" s="2"/>
    </row>
    <row r="15" spans="1:12" x14ac:dyDescent="0.25">
      <c r="A15" s="4" t="s">
        <v>22</v>
      </c>
      <c r="B15" s="6">
        <v>39850</v>
      </c>
      <c r="C15" s="6">
        <v>264150</v>
      </c>
      <c r="D15" s="6">
        <v>90000</v>
      </c>
      <c r="E15" s="2"/>
      <c r="F15" s="2"/>
      <c r="G15" s="4" t="s">
        <v>29</v>
      </c>
      <c r="H15" s="6">
        <v>90000</v>
      </c>
      <c r="I15" s="2"/>
      <c r="J15" s="2"/>
      <c r="K15" s="2"/>
      <c r="L15" s="2"/>
    </row>
    <row r="16" spans="1:12" x14ac:dyDescent="0.25">
      <c r="A16" s="4" t="s">
        <v>33</v>
      </c>
      <c r="B16" s="6">
        <v>39600</v>
      </c>
      <c r="C16" s="6">
        <v>312575</v>
      </c>
      <c r="D16" s="6">
        <v>97090</v>
      </c>
      <c r="E16" s="2"/>
      <c r="F16" s="2"/>
      <c r="G16" s="4" t="s">
        <v>34</v>
      </c>
      <c r="H16" s="6">
        <v>449265</v>
      </c>
      <c r="I16" s="2"/>
      <c r="J16" s="2"/>
      <c r="K16" s="2"/>
      <c r="L16" s="2"/>
    </row>
    <row r="17" spans="1:12" x14ac:dyDescent="0.25">
      <c r="A17" s="4" t="s">
        <v>28</v>
      </c>
      <c r="B17" s="6">
        <v>48537.5</v>
      </c>
      <c r="C17" s="6">
        <v>193040</v>
      </c>
      <c r="D17" s="6">
        <v>68080</v>
      </c>
      <c r="E17" s="2"/>
      <c r="F17" s="2"/>
      <c r="G17" s="4" t="s">
        <v>39</v>
      </c>
      <c r="H17" s="6">
        <v>411740</v>
      </c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4" t="s">
        <v>45</v>
      </c>
      <c r="H18" s="6">
        <v>219657.5</v>
      </c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4" t="s">
        <v>49</v>
      </c>
      <c r="H19" s="6">
        <v>111850</v>
      </c>
      <c r="I19" s="2"/>
      <c r="J19" s="2"/>
      <c r="K19" s="2"/>
      <c r="L19" s="2"/>
    </row>
    <row r="20" spans="1:12" ht="15.75" x14ac:dyDescent="0.25">
      <c r="A20" s="3" t="s">
        <v>93</v>
      </c>
      <c r="B20" s="2"/>
      <c r="C20" s="2"/>
      <c r="D20" s="2"/>
      <c r="E20" s="3" t="s">
        <v>94</v>
      </c>
      <c r="F20" s="2"/>
      <c r="G20" s="2"/>
      <c r="H20" s="2"/>
      <c r="I20" s="2"/>
      <c r="J20" s="2"/>
      <c r="K20" s="2"/>
      <c r="L20" s="2"/>
    </row>
    <row r="21" spans="1:12" x14ac:dyDescent="0.25">
      <c r="A21" s="5" t="s">
        <v>9</v>
      </c>
      <c r="B21" s="5" t="s">
        <v>11</v>
      </c>
      <c r="C21" s="2"/>
      <c r="D21" s="2"/>
      <c r="E21" s="5" t="s">
        <v>95</v>
      </c>
      <c r="F21" s="5" t="s">
        <v>11</v>
      </c>
      <c r="G21" s="2"/>
      <c r="H21" s="2"/>
      <c r="I21" s="2"/>
      <c r="J21" s="2"/>
      <c r="K21" s="2"/>
      <c r="L21" s="2"/>
    </row>
    <row r="22" spans="1:12" x14ac:dyDescent="0.25">
      <c r="A22" s="4" t="s">
        <v>31</v>
      </c>
      <c r="B22" s="6">
        <v>861960</v>
      </c>
      <c r="C22" s="2"/>
      <c r="D22" s="2"/>
      <c r="E22" s="4" t="s">
        <v>96</v>
      </c>
      <c r="F22" s="6">
        <v>681375</v>
      </c>
      <c r="G22" s="2"/>
      <c r="H22" s="2"/>
      <c r="I22" s="2"/>
      <c r="J22" s="2"/>
      <c r="K22" s="2"/>
      <c r="L22" s="2"/>
    </row>
    <row r="23" spans="1:12" x14ac:dyDescent="0.25">
      <c r="A23" s="4" t="s">
        <v>26</v>
      </c>
      <c r="B23" s="6">
        <v>702702.5</v>
      </c>
      <c r="C23" s="2"/>
      <c r="D23" s="2"/>
      <c r="E23" s="4" t="s">
        <v>97</v>
      </c>
      <c r="F23" s="6">
        <v>630207.5</v>
      </c>
      <c r="G23" s="2"/>
      <c r="H23" s="2"/>
      <c r="I23" s="2"/>
      <c r="J23" s="2"/>
      <c r="K23" s="2"/>
      <c r="L23" s="2"/>
    </row>
    <row r="24" spans="1:12" x14ac:dyDescent="0.25">
      <c r="A24" s="2"/>
      <c r="B24" s="2"/>
      <c r="C24" s="2"/>
      <c r="D24" s="2"/>
      <c r="E24" s="4" t="s">
        <v>98</v>
      </c>
      <c r="F24" s="6">
        <v>253080</v>
      </c>
      <c r="G24" s="2"/>
      <c r="H24" s="2"/>
      <c r="I24" s="2"/>
      <c r="J24" s="2"/>
      <c r="K24" s="2"/>
      <c r="L24" s="2"/>
    </row>
    <row r="25" spans="1:1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15.75" x14ac:dyDescent="0.25">
      <c r="A28" s="3" t="s">
        <v>99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25">
      <c r="A29" s="5" t="s">
        <v>5</v>
      </c>
      <c r="B29" s="5" t="s">
        <v>7</v>
      </c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5">
      <c r="A30" s="4" t="s">
        <v>36</v>
      </c>
      <c r="B30" s="6">
        <v>1550</v>
      </c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25">
      <c r="A31" s="4" t="s">
        <v>25</v>
      </c>
      <c r="B31" s="6">
        <v>36762.5</v>
      </c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25">
      <c r="A32" s="4" t="s">
        <v>41</v>
      </c>
      <c r="B32" s="6">
        <v>14725</v>
      </c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</sheetData>
  <mergeCells count="1">
    <mergeCell ref="H7:L8"/>
  </mergeCells>
  <dataValidations count="1">
    <dataValidation type="list" sqref="H4" xr:uid="{00000000-0002-0000-0500-000000000000}">
      <formula1>"All,East,North,South,West"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SalesData</vt:lpstr>
      <vt:lpstr>Sorted View</vt:lpstr>
      <vt:lpstr>Corporate North West</vt:lpstr>
      <vt:lpstr>Lookup</vt:lpstr>
      <vt:lpstr>Functions Summary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Varun Kant Diwakar</cp:lastModifiedBy>
  <dcterms:created xsi:type="dcterms:W3CDTF">2026-09-10T07:41:18Z</dcterms:created>
  <dcterms:modified xsi:type="dcterms:W3CDTF">2026-09-10T12:28:47Z</dcterms:modified>
</cp:coreProperties>
</file>