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ISHDIWAKAR\Desktop\Invertis_MCA\IIot\"/>
    </mc:Choice>
  </mc:AlternateContent>
  <xr:revisionPtr revIDLastSave="0" documentId="13_ncr:1_{673CD76A-C179-4ABE-8A23-3A9B0B01CFD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 a="1"/>
  <c r="Q3" i="1" s="1"/>
  <c r="Q4" i="1" a="1"/>
  <c r="Q4" i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/>
  <c r="Q11" i="1" a="1"/>
  <c r="Q11" i="1" s="1"/>
  <c r="Q2" i="1" a="1"/>
  <c r="Q2" i="1" s="1"/>
  <c r="P3" i="1" a="1"/>
  <c r="P3" i="1" s="1"/>
  <c r="P4" i="1" a="1"/>
  <c r="P4" i="1"/>
  <c r="P5" i="1" a="1"/>
  <c r="P5" i="1" s="1"/>
  <c r="P6" i="1" a="1"/>
  <c r="P6" i="1"/>
  <c r="P7" i="1" a="1"/>
  <c r="P7" i="1" s="1"/>
  <c r="P8" i="1" a="1"/>
  <c r="P8" i="1"/>
  <c r="P9" i="1" a="1"/>
  <c r="P9" i="1" s="1"/>
  <c r="P10" i="1" a="1"/>
  <c r="P10" i="1"/>
  <c r="P11" i="1" a="1"/>
  <c r="P11" i="1" s="1"/>
  <c r="P2" i="1" a="1"/>
  <c r="P2" i="1" s="1"/>
  <c r="O3" i="1" a="1"/>
  <c r="O3" i="1" s="1"/>
  <c r="O4" i="1" a="1"/>
  <c r="O4" i="1"/>
  <c r="O5" i="1" a="1"/>
  <c r="O5" i="1" s="1"/>
  <c r="O6" i="1" a="1"/>
  <c r="O6" i="1"/>
  <c r="O7" i="1" a="1"/>
  <c r="O7" i="1" s="1"/>
  <c r="O8" i="1" a="1"/>
  <c r="O8" i="1"/>
  <c r="O9" i="1" a="1"/>
  <c r="O9" i="1" s="1"/>
  <c r="O10" i="1" a="1"/>
  <c r="O10" i="1"/>
  <c r="O11" i="1" a="1"/>
  <c r="O11" i="1" s="1"/>
  <c r="O2" i="1" a="1"/>
  <c r="O2" i="1" s="1"/>
  <c r="N6" i="1" a="1"/>
  <c r="N6" i="1" s="1"/>
  <c r="N3" i="1" a="1"/>
  <c r="N3" i="1" s="1"/>
  <c r="N4" i="1" a="1"/>
  <c r="N4" i="1"/>
  <c r="N5" i="1" a="1"/>
  <c r="N5" i="1" s="1"/>
  <c r="N7" i="1" a="1"/>
  <c r="N7" i="1" s="1"/>
  <c r="N8" i="1" a="1"/>
  <c r="N8" i="1"/>
  <c r="N9" i="1" a="1"/>
  <c r="N9" i="1" s="1"/>
  <c r="N10" i="1" a="1"/>
  <c r="N10" i="1"/>
  <c r="N11" i="1" a="1"/>
  <c r="N11" i="1" s="1"/>
  <c r="N2" i="1" a="1"/>
  <c r="N2" i="1"/>
  <c r="M3" i="1" a="1"/>
  <c r="M3" i="1" s="1"/>
  <c r="M4" i="1" a="1"/>
  <c r="M4" i="1"/>
  <c r="M5" i="1" a="1"/>
  <c r="M5" i="1" s="1"/>
  <c r="M6" i="1" a="1"/>
  <c r="M6" i="1"/>
  <c r="M7" i="1" a="1"/>
  <c r="M7" i="1" s="1"/>
  <c r="M8" i="1" a="1"/>
  <c r="M8" i="1"/>
  <c r="M9" i="1" a="1"/>
  <c r="M9" i="1" s="1"/>
  <c r="M10" i="1" a="1"/>
  <c r="M10" i="1"/>
  <c r="M11" i="1" a="1"/>
  <c r="M11" i="1" s="1"/>
  <c r="M2" i="1" a="1"/>
  <c r="M2" i="1" s="1"/>
  <c r="L3" i="1" a="1"/>
  <c r="L3" i="1" s="1"/>
  <c r="L4" i="1" a="1"/>
  <c r="L4" i="1"/>
  <c r="L5" i="1" a="1"/>
  <c r="L5" i="1" s="1"/>
  <c r="L6" i="1" a="1"/>
  <c r="L6" i="1"/>
  <c r="L7" i="1" a="1"/>
  <c r="L7" i="1" s="1"/>
  <c r="L8" i="1" a="1"/>
  <c r="L8" i="1"/>
  <c r="L9" i="1" a="1"/>
  <c r="L9" i="1" s="1"/>
  <c r="L10" i="1" a="1"/>
  <c r="L10" i="1" s="1"/>
  <c r="L11" i="1" a="1"/>
  <c r="L11" i="1" s="1"/>
  <c r="L2" i="1" a="1"/>
  <c r="L2" i="1" s="1"/>
  <c r="G20" i="1"/>
  <c r="G19" i="1"/>
  <c r="G18" i="1"/>
  <c r="G17" i="1"/>
  <c r="G16" i="1"/>
  <c r="G15" i="1"/>
  <c r="G14" i="1"/>
  <c r="G13" i="1"/>
  <c r="D21" i="1"/>
  <c r="D20" i="1"/>
  <c r="D19" i="1"/>
  <c r="D18" i="1"/>
  <c r="D17" i="1"/>
  <c r="D16" i="1"/>
  <c r="D15" i="1"/>
  <c r="D14" i="1"/>
  <c r="D13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<sst xmlns="http://schemas.openxmlformats.org/spreadsheetml/2006/main" count="25" uniqueCount="18">
  <si>
    <t>Employee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</si>
  <si>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</si>
  <si>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</si>
  <si>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</si>
  <si>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</si>
  <si>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</si>
  <si>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</si>
  <si>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</si>
  <si>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</si>
  <si>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</si>
  <si>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>Simran</t>
  </si>
  <si>
    <t>Karan</t>
  </si>
  <si>
    <t>Anjali</t>
  </si>
  <si>
    <t>Vivek</t>
  </si>
  <si>
    <t>Pooja</t>
  </si>
  <si>
    <t>IT</t>
  </si>
  <si>
    <t>HR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</si>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</sst>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F1" zoomScale="130" zoomScaleNormal="130" workbookViewId="0">
      <selection activeCell="P2" sqref="P2"/>
    </sheetView>
  </sheetViews>
  <sheetFormatPr defaultRowHeight="15" x14ac:dyDescent="0.25"/>
  <cols>
    <col min="5" max="5" width="11" customWidth="1"/>
    <col min="7" max="7" width="13.28515625" customWidth="1"/>
    <col min="8" max="8" width="9.140625" customWidth="1"/>
    <col min="9" max="9" width="10.85546875" customWidth="1"/>
    <col min="10" max="10" width="14.140625" customWidth="1"/>
    <col min="11" max="11" width="13.140625" customWidth="1"/>
    <col min="12" max="12" width="10.42578125" customWidth="1"/>
    <col min="13" max="13" width="11" customWidth="1"/>
    <col min="15" max="15" width="12.28515625" customWidth="1"/>
    <col min="17" max="17" width="18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1.1000000000000001</v>
      </c>
      <c r="G1">
        <v>1.2</v>
      </c>
      <c r="H1">
        <v>1.4</v>
      </c>
      <c r="I1">
        <v>1.3</v>
      </c>
      <c r="J1">
        <v>1.5</v>
      </c>
      <c r="K1">
        <v>1.6</v>
      </c>
      <c r="L1">
        <v>2.7</v>
      </c>
      <c r="M1">
        <v>2.8</v>
      </c>
      <c r="N1">
        <v>2.9</v>
      </c>
      <c r="O1">
        <v>2.1</v>
      </c>
      <c r="P1">
        <v>2.11</v>
      </c>
      <c r="Q1">
        <v>2.12</v>
      </c>
    </row>
    <row r="2" spans="1:17" x14ac:dyDescent="0.25">
      <c r="A2" t="s">
        <v>5</v>
      </c>
      <c r="B2" t="s">
        <v>15</v>
      </c>
      <c r="C2">
        <v>85</v>
      </c>
      <c r="D2">
        <v>45000</v>
      </c>
      <c r="E2" s="1">
        <v>0.92</v>
      </c>
      <c r="F2" t="str">
        <f>IF(C2&gt;40,"Pass","Fail")</f>
        <v>Pass</v>
      </c>
      <c r="G2" t="str">
        <f>IF(D2&gt;45000,"High Salary","Normal Salary")</f>
        <v>Normal Salary</v>
      </c>
      <c r="H2" t="str">
        <f>IF(C2&gt;90,"Excellent","Good")</f>
        <v>Good</v>
      </c>
      <c r="I2" t="str">
        <f>IF(E2&gt;80%,"Eligible","Not Eligible")</f>
        <v>Eligible</v>
      </c>
      <c r="J2" t="str">
        <f>IF(B2="IT","Technical","NON-Technical")</f>
        <v>Technical</v>
      </c>
      <c r="K2" t="str">
        <f>IF(AND(B2&gt;85,E2&gt;90%),"Top Performer","Standard")</f>
        <v>Top Performer</v>
      </c>
      <c r="L2" t="str" cm="1">
        <f t="array" ref="L2">_xlfn.IFS(C2&gt;=90,"Excellent",C2&gt;=80,"Very Good",C2&gt;=70,"Good",C2&gt;=60,"Average",TRUE,"Fail")</f>
        <v>Very Good</v>
      </c>
      <c r="M2" t="str" cm="1">
        <f t="array" ref="M2">_xlfn.IFS(D2&gt;50000,"A",D2&gt;40000,"B",D2&gt;35000,"C",TRUE,"D")</f>
        <v>B</v>
      </c>
      <c r="N2" t="str" cm="1">
        <f t="array" ref="N2">_xlfn.IFS(E2&gt;90%,"Excellent",E2&gt;80%,"Good",E2&gt;75%,"Average",TRUE,"poor")</f>
        <v>Excellent</v>
      </c>
      <c r="O2" t="str" cm="1">
        <f t="array" ref="O2">_xlfn.IFS(AND(C2&gt;=80,D2&gt;=85%),"Eligible",TRUE,"Not Eligible")</f>
        <v>Eligible</v>
      </c>
      <c r="P2" t="str" cm="1">
        <f t="array" ref="P2">_xlfn.IFS(AND(B2="IT",C2&gt;=45000),"IT Premium",AND(B2="HR",C2&gt;=40000),"HR Premium",TRUE,"Regular")</f>
        <v>Regular</v>
      </c>
      <c r="Q2" t="str" cm="1">
        <f t="array" ref="Q2">_xlfn.IFS(C2&gt;=90,"Outstanding",C2&gt;=80,"Strong",C2&gt;=70,"Satisfactory",TRUE,"Needs Improvement")</f>
        <v>Strong</v>
      </c>
    </row>
    <row r="3" spans="1:17" x14ac:dyDescent="0.25">
      <c r="A3" t="s">
        <v>6</v>
      </c>
      <c r="B3" t="s">
        <v>16</v>
      </c>
      <c r="C3">
        <v>72</v>
      </c>
      <c r="D3">
        <v>38000</v>
      </c>
      <c r="E3" s="1">
        <v>0.85</v>
      </c>
      <c r="F3" t="str">
        <f t="shared" ref="F3:F11" si="0">IF(C3&gt;40,"Pass","Fail")</f>
        <v>Pass</v>
      </c>
      <c r="G3" t="str">
        <f t="shared" ref="G3:G11" si="1">IF(D3&gt;45000,"High Salary","Normal Salary")</f>
        <v>Normal Salary</v>
      </c>
      <c r="H3" t="str">
        <f t="shared" ref="H3:H11" si="2">IF(C3&gt;90,"Excellent","Good")</f>
        <v>Good</v>
      </c>
      <c r="I3" t="str">
        <f t="shared" ref="I3:I11" si="3">IF(E3&gt;80%,"Eligible","Not Eligible")</f>
        <v>Eligible</v>
      </c>
      <c r="J3" t="str">
        <f t="shared" ref="J3:J11" si="4">IF(B3="IT","Technical","NON-Technical")</f>
        <v>NON-Technical</v>
      </c>
      <c r="K3" t="str">
        <f t="shared" ref="K3:K11" si="5">IF(AND(B3&gt;85,E3&gt;90%),"Top Performer","Standard")</f>
        <v>Standard</v>
      </c>
      <c r="L3" t="str" cm="1">
        <f t="array" ref="L3">_xlfn.IFS(C3&gt;=90,"Excellent",C3&gt;=80,"Very Good",C3&gt;=70,"Good",C3&gt;=60,"Average",TRUE,"Fail")</f>
        <v>Good</v>
      </c>
      <c r="M3" t="str" cm="1">
        <f t="array" ref="M3">_xlfn.IFS(D3&gt;50000,"A",D3&gt;40000,"B",D3&gt;35000,"C",TRUE,"D")</f>
        <v>C</v>
      </c>
      <c r="N3" t="str" cm="1">
        <f t="array" ref="N3">_xlfn.IFS(E3&gt;90%,"Excellent",E3&gt;80%,"Good",E3&gt;75%,"Average",TRUE,"poor")</f>
        <v>Good</v>
      </c>
      <c r="O3" t="str" cm="1">
        <f t="array" ref="O3">_xlfn.IFS(AND(C3&gt;=80,D3&gt;=85%),"Eligible",TRUE,"Not Eligible")</f>
        <v>Not Eligible</v>
      </c>
      <c r="P3" t="str" cm="1">
        <f t="array" ref="P3">_xlfn.IFS(AND(B3="IT",C3&gt;=45000),"IT Premium",AND(B3="HR",C3&gt;=40000),"HR Premium",TRUE,"Regular")</f>
        <v>Regular</v>
      </c>
      <c r="Q3" t="str" cm="1">
        <f t="array" ref="Q3">_xlfn.IFS(C3&gt;=90,"Outstanding",C3&gt;=80,"Strong",C3&gt;=70,"Satisfactory",TRUE,"Needs Improvement")</f>
        <v>Satisfactory</v>
      </c>
    </row>
    <row r="4" spans="1:17" x14ac:dyDescent="0.25">
      <c r="A4" t="s">
        <v>7</v>
      </c>
      <c r="B4" t="s">
        <v>15</v>
      </c>
      <c r="C4">
        <v>65</v>
      </c>
      <c r="D4">
        <v>42000</v>
      </c>
      <c r="E4" s="1">
        <v>0.78</v>
      </c>
      <c r="F4" t="str">
        <f t="shared" si="0"/>
        <v>Pass</v>
      </c>
      <c r="G4" t="str">
        <f t="shared" si="1"/>
        <v>Normal Salary</v>
      </c>
      <c r="H4" t="str">
        <f t="shared" si="2"/>
        <v>Good</v>
      </c>
      <c r="I4" t="str">
        <f t="shared" si="3"/>
        <v>Not Eligible</v>
      </c>
      <c r="J4" t="str">
        <f t="shared" si="4"/>
        <v>Technical</v>
      </c>
      <c r="K4" t="str">
        <f t="shared" si="5"/>
        <v>Standard</v>
      </c>
      <c r="L4" t="str" cm="1">
        <f t="array" ref="L4">_xlfn.IFS(C4&gt;=90,"Excellent",C4&gt;=80,"Very Good",C4&gt;=70,"Good",C4&gt;=60,"Average",TRUE,"Fail")</f>
        <v>Average</v>
      </c>
      <c r="M4" t="str" cm="1">
        <f t="array" ref="M4">_xlfn.IFS(D4&gt;50000,"A",D4&gt;40000,"B",D4&gt;35000,"C",TRUE,"D")</f>
        <v>B</v>
      </c>
      <c r="N4" t="str" cm="1">
        <f t="array" ref="N4">_xlfn.IFS(E4&gt;90%,"Excellent",E4&gt;80%,"Good",E4&gt;75%,"Average",TRUE,"poor")</f>
        <v>Average</v>
      </c>
      <c r="O4" t="str" cm="1">
        <f t="array" ref="O4">_xlfn.IFS(AND(C4&gt;=80,D4&gt;=85%),"Eligible",TRUE,"Not Eligible")</f>
        <v>Not Eligible</v>
      </c>
      <c r="P4" t="str" cm="1">
        <f t="array" ref="P4">_xlfn.IFS(AND(B4="IT",C4&gt;=45000),"IT Premium",AND(B4="HR",C4&gt;=40000),"HR Premium",TRUE,"Regular")</f>
        <v>Regular</v>
      </c>
      <c r="Q4" t="str" cm="1">
        <f t="array" ref="Q4">_xlfn.IFS(C4&gt;=90,"Outstanding",C4&gt;=80,"Strong",C4&gt;=70,"Satisfactory",TRUE,"Needs Improvement")</f>
        <v>Needs Improvement</v>
      </c>
    </row>
    <row r="5" spans="1:17" x14ac:dyDescent="0.25">
      <c r="A5" t="s">
        <v>8</v>
      </c>
      <c r="B5" t="s">
        <v>17</v>
      </c>
      <c r="C5">
        <v>91</v>
      </c>
      <c r="D5">
        <v>52000</v>
      </c>
      <c r="E5" s="1">
        <v>0.96</v>
      </c>
      <c r="F5" t="str">
        <f t="shared" si="0"/>
        <v>Pass</v>
      </c>
      <c r="G5" t="str">
        <f t="shared" si="1"/>
        <v>High Salary</v>
      </c>
      <c r="H5" t="str">
        <f t="shared" si="2"/>
        <v>Excellent</v>
      </c>
      <c r="I5" t="str">
        <f t="shared" si="3"/>
        <v>Eligible</v>
      </c>
      <c r="J5" t="str">
        <f t="shared" si="4"/>
        <v>NON-Technical</v>
      </c>
      <c r="K5" t="str">
        <f t="shared" si="5"/>
        <v>Top Performer</v>
      </c>
      <c r="L5" t="str" cm="1">
        <f t="array" ref="L5">_xlfn.IFS(C5&gt;=90,"Excellent",C5&gt;=80,"Very Good",C5&gt;=70,"Good",C5&gt;=60,"Average",TRUE,"Fail")</f>
        <v>Excellent</v>
      </c>
      <c r="M5" t="str" cm="1">
        <f t="array" ref="M5">_xlfn.IFS(D5&gt;50000,"A",D5&gt;40000,"B",D5&gt;35000,"C",TRUE,"D")</f>
        <v>A</v>
      </c>
      <c r="N5" t="str" cm="1">
        <f t="array" ref="N5">_xlfn.IFS(E5&gt;90%,"Excellent",E5&gt;80%,"Good",E5&gt;75%,"Average",TRUE,"poor")</f>
        <v>Excellent</v>
      </c>
      <c r="O5" t="str" cm="1">
        <f t="array" ref="O5">_xlfn.IFS(AND(C5&gt;=80,D5&gt;=85%),"Eligible",TRUE,"Not Eligible")</f>
        <v>Eligible</v>
      </c>
      <c r="P5" t="str" cm="1">
        <f t="array" ref="P5">_xlfn.IFS(AND(B5="IT",C5&gt;=45000),"IT Premium",AND(B5="HR",C5&gt;=40000),"HR Premium",TRUE,"Regular")</f>
        <v>Regular</v>
      </c>
      <c r="Q5" t="str" cm="1">
        <f t="array" ref="Q5">_xlfn.IFS(C5&gt;=90,"Outstanding",C5&gt;=80,"Strong",C5&gt;=70,"Satisfactory",TRUE,"Needs Improvement")</f>
        <v>Outstanding</v>
      </c>
    </row>
    <row r="6" spans="1:17" x14ac:dyDescent="0.25">
      <c r="A6" t="s">
        <v>9</v>
      </c>
      <c r="B6" t="s">
        <v>16</v>
      </c>
      <c r="C6">
        <v>58</v>
      </c>
      <c r="D6">
        <v>35000</v>
      </c>
      <c r="E6" s="1">
        <v>0.72</v>
      </c>
      <c r="F6" t="str">
        <f t="shared" si="0"/>
        <v>Pass</v>
      </c>
      <c r="G6" t="str">
        <f t="shared" si="1"/>
        <v>Normal Salary</v>
      </c>
      <c r="H6" t="str">
        <f t="shared" si="2"/>
        <v>Good</v>
      </c>
      <c r="I6" t="str">
        <f t="shared" si="3"/>
        <v>Not Eligible</v>
      </c>
      <c r="J6" t="str">
        <f t="shared" si="4"/>
        <v>NON-Technical</v>
      </c>
      <c r="K6" t="str">
        <f t="shared" si="5"/>
        <v>Standard</v>
      </c>
      <c r="L6" t="str" cm="1">
        <f t="array" ref="L6">_xlfn.IFS(C6&gt;=90,"Excellent",C6&gt;=80,"Very Good",C6&gt;=70,"Good",C6&gt;=60,"Average",TRUE,"Fail")</f>
        <v>Fail</v>
      </c>
      <c r="M6" t="str" cm="1">
        <f t="array" ref="M6">_xlfn.IFS(D6&gt;50000,"A",D6&gt;40000,"B",D6&gt;35000,"C",TRUE,"D")</f>
        <v>D</v>
      </c>
      <c r="N6" t="str" cm="1">
        <f t="array" ref="N6">_xlfn.IFS(E6&gt;90%,"Excellent",E6&gt;80%,"Good",E6&gt;75%,"Average",TRUE,"Poor")</f>
        <v>Poor</v>
      </c>
      <c r="O6" t="str" cm="1">
        <f t="array" ref="O6">_xlfn.IFS(AND(C6&gt;=80,D6&gt;=85%),"Eligible",TRUE,"Not Eligible")</f>
        <v>Not Eligible</v>
      </c>
      <c r="P6" t="str" cm="1">
        <f t="array" ref="P6">_xlfn.IFS(AND(B6="IT",C6&gt;=45000),"IT Premium",AND(B6="HR",C6&gt;=40000),"HR Premium",TRUE,"Regular")</f>
        <v>Regular</v>
      </c>
      <c r="Q6" t="str" cm="1">
        <f t="array" ref="Q6">_xlfn.IFS(C6&gt;=90,"Outstanding",C6&gt;=80,"Strong",C6&gt;=70,"Satisfactory",TRUE,"Needs Improvement")</f>
        <v>Needs Improvement</v>
      </c>
    </row>
    <row r="7" spans="1:17" x14ac:dyDescent="0.25">
      <c r="A7" t="s">
        <v>10</v>
      </c>
      <c r="B7" t="s">
        <v>15</v>
      </c>
      <c r="C7">
        <v>78</v>
      </c>
      <c r="D7">
        <v>48000</v>
      </c>
      <c r="E7" s="1">
        <v>0.88</v>
      </c>
      <c r="F7" t="str">
        <f t="shared" si="0"/>
        <v>Pass</v>
      </c>
      <c r="G7" t="str">
        <f t="shared" si="1"/>
        <v>High Salary</v>
      </c>
      <c r="H7" t="str">
        <f t="shared" si="2"/>
        <v>Good</v>
      </c>
      <c r="I7" t="str">
        <f t="shared" si="3"/>
        <v>Eligible</v>
      </c>
      <c r="J7" t="str">
        <f t="shared" si="4"/>
        <v>Technical</v>
      </c>
      <c r="K7" t="str">
        <f t="shared" si="5"/>
        <v>Standard</v>
      </c>
      <c r="L7" t="str" cm="1">
        <f t="array" ref="L7">_xlfn.IFS(C7&gt;=90,"Excellent",C7&gt;=80,"Very Good",C7&gt;=70,"Good",C7&gt;=60,"Average",TRUE,"Fail")</f>
        <v>Good</v>
      </c>
      <c r="M7" t="str" cm="1">
        <f t="array" ref="M7">_xlfn.IFS(D7&gt;50000,"A",D7&gt;40000,"B",D7&gt;35000,"C",TRUE,"D")</f>
        <v>B</v>
      </c>
      <c r="N7" t="str" cm="1">
        <f t="array" ref="N7">_xlfn.IFS(E7&gt;90%,"Excellent",E7&gt;80%,"Good",E7&gt;75%,"Average",TRUE,"poor")</f>
        <v>Good</v>
      </c>
      <c r="O7" t="str" cm="1">
        <f t="array" ref="O7">_xlfn.IFS(AND(C7&gt;=80,D7&gt;=85%),"Eligible",TRUE,"Not Eligible")</f>
        <v>Not Eligible</v>
      </c>
      <c r="P7" t="str" cm="1">
        <f t="array" ref="P7">_xlfn.IFS(AND(B7="IT",C7&gt;=45000),"IT Premium",AND(B7="HR",C7&gt;=40000),"HR Premium",TRUE,"Regular")</f>
        <v>Regular</v>
      </c>
      <c r="Q7" t="str" cm="1">
        <f t="array" ref="Q7">_xlfn.IFS(C7&gt;=90,"Outstanding",C7&gt;=80,"Strong",C7&gt;=70,"Satisfactory",TRUE,"Needs Improvement")</f>
        <v>Satisfactory</v>
      </c>
    </row>
    <row r="8" spans="1:17" x14ac:dyDescent="0.25">
      <c r="A8" t="s">
        <v>11</v>
      </c>
      <c r="B8" t="s">
        <v>17</v>
      </c>
      <c r="C8">
        <v>69</v>
      </c>
      <c r="D8">
        <v>41000</v>
      </c>
      <c r="E8" s="1">
        <v>0.81</v>
      </c>
      <c r="F8" t="str">
        <f t="shared" si="0"/>
        <v>Pass</v>
      </c>
      <c r="G8" t="str">
        <f t="shared" si="1"/>
        <v>Normal Salary</v>
      </c>
      <c r="H8" t="str">
        <f t="shared" si="2"/>
        <v>Good</v>
      </c>
      <c r="I8" t="str">
        <f t="shared" si="3"/>
        <v>Eligible</v>
      </c>
      <c r="J8" t="str">
        <f t="shared" si="4"/>
        <v>NON-Technical</v>
      </c>
      <c r="K8" t="str">
        <f t="shared" si="5"/>
        <v>Standard</v>
      </c>
      <c r="L8" t="str" cm="1">
        <f t="array" ref="L8">_xlfn.IFS(C8&gt;=90,"Excellent",C8&gt;=80,"Very Good",C8&gt;=70,"Good",C8&gt;=60,"Average",TRUE,"Fail")</f>
        <v>Average</v>
      </c>
      <c r="M8" t="str" cm="1">
        <f t="array" ref="M8">_xlfn.IFS(D8&gt;50000,"A",D8&gt;40000,"B",D8&gt;35000,"C",TRUE,"D")</f>
        <v>B</v>
      </c>
      <c r="N8" t="str" cm="1">
        <f t="array" ref="N8">_xlfn.IFS(E8&gt;90%,"Excellent",E8&gt;80%,"Good",E8&gt;75%,"Average",TRUE,"poor")</f>
        <v>Good</v>
      </c>
      <c r="O8" t="str" cm="1">
        <f t="array" ref="O8">_xlfn.IFS(AND(C8&gt;=80,D8&gt;=85%),"Eligible",TRUE,"Not Eligible")</f>
        <v>Not Eligible</v>
      </c>
      <c r="P8" t="str" cm="1">
        <f t="array" ref="P8">_xlfn.IFS(AND(B8="IT",C8&gt;=45000),"IT Premium",AND(B8="HR",C8&gt;=40000),"HR Premium",TRUE,"Regular")</f>
        <v>Regular</v>
      </c>
      <c r="Q8" t="str" cm="1">
        <f t="array" ref="Q8">_xlfn.IFS(C8&gt;=90,"Outstanding",C8&gt;=80,"Strong",C8&gt;=70,"Satisfactory",TRUE,"Needs Improvement")</f>
        <v>Needs Improvement</v>
      </c>
    </row>
    <row r="9" spans="1:17" x14ac:dyDescent="0.25">
      <c r="A9" t="s">
        <v>12</v>
      </c>
      <c r="B9" t="s">
        <v>16</v>
      </c>
      <c r="C9">
        <v>88</v>
      </c>
      <c r="D9">
        <v>46000</v>
      </c>
      <c r="E9" s="1">
        <v>0.94</v>
      </c>
      <c r="F9" t="str">
        <f t="shared" si="0"/>
        <v>Pass</v>
      </c>
      <c r="G9" t="str">
        <f t="shared" si="1"/>
        <v>High Salary</v>
      </c>
      <c r="H9" t="str">
        <f t="shared" si="2"/>
        <v>Good</v>
      </c>
      <c r="I9" t="str">
        <f t="shared" si="3"/>
        <v>Eligible</v>
      </c>
      <c r="J9" t="str">
        <f t="shared" si="4"/>
        <v>NON-Technical</v>
      </c>
      <c r="K9" t="str">
        <f t="shared" si="5"/>
        <v>Top Performer</v>
      </c>
      <c r="L9" t="str" cm="1">
        <f t="array" ref="L9">_xlfn.IFS(C9&gt;=90,"Excellent",C9&gt;=80,"Very Good",C9&gt;=70,"Good",C9&gt;=60,"Average",TRUE,"Fail")</f>
        <v>Very Good</v>
      </c>
      <c r="M9" t="str" cm="1">
        <f t="array" ref="M9">_xlfn.IFS(D9&gt;50000,"A",D9&gt;40000,"B",D9&gt;35000,"C",TRUE,"D")</f>
        <v>B</v>
      </c>
      <c r="N9" t="str" cm="1">
        <f t="array" ref="N9">_xlfn.IFS(E9&gt;90%,"Excellent",E9&gt;80%,"Good",E9&gt;75%,"Average",TRUE,"poor")</f>
        <v>Excellent</v>
      </c>
      <c r="O9" t="str" cm="1">
        <f t="array" ref="O9">_xlfn.IFS(AND(C9&gt;=80,D9&gt;=85%),"Eligible",TRUE,"Not Eligible")</f>
        <v>Eligible</v>
      </c>
      <c r="P9" t="str" cm="1">
        <f t="array" ref="P9">_xlfn.IFS(AND(B9="IT",C9&gt;=45000),"IT Premium",AND(B9="HR",C9&gt;=40000),"HR Premium",TRUE,"Regular")</f>
        <v>Regular</v>
      </c>
      <c r="Q9" t="str" cm="1">
        <f t="array" ref="Q9">_xlfn.IFS(C9&gt;=90,"Outstanding",C9&gt;=80,"Strong",C9&gt;=70,"Satisfactory",TRUE,"Needs Improvement")</f>
        <v>Strong</v>
      </c>
    </row>
    <row r="10" spans="1:17" x14ac:dyDescent="0.25">
      <c r="A10" t="s">
        <v>13</v>
      </c>
      <c r="B10" t="s">
        <v>15</v>
      </c>
      <c r="C10">
        <v>95</v>
      </c>
      <c r="D10">
        <v>60000</v>
      </c>
      <c r="E10" s="1">
        <v>0.98</v>
      </c>
      <c r="F10" t="str">
        <f t="shared" si="0"/>
        <v>Pass</v>
      </c>
      <c r="G10" t="str">
        <f t="shared" si="1"/>
        <v>High Salary</v>
      </c>
      <c r="H10" t="str">
        <f t="shared" si="2"/>
        <v>Excellent</v>
      </c>
      <c r="I10" t="str">
        <f t="shared" si="3"/>
        <v>Eligible</v>
      </c>
      <c r="J10" t="str">
        <f t="shared" si="4"/>
        <v>Technical</v>
      </c>
      <c r="K10" t="str">
        <f t="shared" si="5"/>
        <v>Top Performer</v>
      </c>
      <c r="L10" t="str" cm="1">
        <f t="array" ref="L10">_xlfn.IFS(C10&gt;=90,"Excellent",C10&gt;=80,"Very Good",C10&gt;=70,"Good",C10&gt;=60,"Average",TRUE,"Fail")</f>
        <v>Excellent</v>
      </c>
      <c r="M10" t="str" cm="1">
        <f t="array" ref="M10">_xlfn.IFS(D10&gt;50000,"A",D10&gt;40000,"B",D10&gt;35000,"C",TRUE,"D")</f>
        <v>A</v>
      </c>
      <c r="N10" t="str" cm="1">
        <f t="array" ref="N10">_xlfn.IFS(E10&gt;90%,"Excellent",E10&gt;80%,"Good",E10&gt;75%,"Average",TRUE,"poor")</f>
        <v>Excellent</v>
      </c>
      <c r="O10" t="str" cm="1">
        <f t="array" ref="O10">_xlfn.IFS(AND(C10&gt;=80,D10&gt;=85%),"Eligible",TRUE,"Not Eligible")</f>
        <v>Eligible</v>
      </c>
      <c r="P10" t="str" cm="1">
        <f t="array" ref="P10">_xlfn.IFS(AND(B10="IT",C10&gt;=45000),"IT Premium",AND(B10="HR",C10&gt;=40000),"HR Premium",TRUE,"Regular")</f>
        <v>Regular</v>
      </c>
      <c r="Q10" t="str" cm="1">
        <f t="array" ref="Q10">_xlfn.IFS(C10&gt;=90,"Outstanding",C10&gt;=80,"Strong",C10&gt;=70,"Satisfactory",TRUE,"Needs Improvement")</f>
        <v>Outstanding</v>
      </c>
    </row>
    <row r="11" spans="1:17" x14ac:dyDescent="0.25">
      <c r="A11" t="s">
        <v>14</v>
      </c>
      <c r="B11" t="s">
        <v>17</v>
      </c>
      <c r="C11">
        <v>74</v>
      </c>
      <c r="D11">
        <v>39000</v>
      </c>
      <c r="E11" s="1">
        <v>0.86</v>
      </c>
      <c r="F11" t="str">
        <f t="shared" si="0"/>
        <v>Pass</v>
      </c>
      <c r="G11" t="str">
        <f t="shared" si="1"/>
        <v>Normal Salary</v>
      </c>
      <c r="H11" t="str">
        <f t="shared" si="2"/>
        <v>Good</v>
      </c>
      <c r="I11" t="str">
        <f t="shared" si="3"/>
        <v>Eligible</v>
      </c>
      <c r="J11" t="str">
        <f t="shared" si="4"/>
        <v>NON-Technical</v>
      </c>
      <c r="K11" t="str">
        <f t="shared" si="5"/>
        <v>Standard</v>
      </c>
      <c r="L11" t="str" cm="1">
        <f t="array" ref="L11">_xlfn.IFS(C11&gt;=90,"Excellent",C11&gt;=80,"Very Good",C11&gt;=70,"Good",C11&gt;=60,"Average",TRUE,"Fail")</f>
        <v>Good</v>
      </c>
      <c r="M11" t="str" cm="1">
        <f t="array" ref="M11">_xlfn.IFS(D11&gt;50000,"A",D11&gt;40000,"B",D11&gt;35000,"C",TRUE,"D")</f>
        <v>C</v>
      </c>
      <c r="N11" t="str" cm="1">
        <f t="array" ref="N11">_xlfn.IFS(E11&gt;90%,"Excellent",E11&gt;80%,"Good",E11&gt;75%,"Average",TRUE,"poor")</f>
        <v>Good</v>
      </c>
      <c r="O11" t="str" cm="1">
        <f t="array" ref="O11">_xlfn.IFS(AND(C11&gt;=80,D11&gt;=85%),"Eligible",TRUE,"Not Eligible")</f>
        <v>Not Eligible</v>
      </c>
      <c r="P11" t="str" cm="1">
        <f t="array" ref="P11">_xlfn.IFS(AND(B11="IT",C11&gt;=45000),"IT Premium",AND(B11="HR",C11&gt;=40000),"HR Premium",TRUE,"Regular")</f>
        <v>Regular</v>
      </c>
      <c r="Q11" t="str" cm="1">
        <f t="array" ref="Q11">_xlfn.IFS(C11&gt;=90,"Outstanding",C11&gt;=80,"Strong",C11&gt;=70,"Satisfactory",TRUE,"Needs Improvement")</f>
        <v>Satisfactory</v>
      </c>
    </row>
    <row r="13" spans="1:17" x14ac:dyDescent="0.25">
      <c r="C13">
        <v>3.13</v>
      </c>
      <c r="D13">
        <f>COUNTIF(B2:B11,"IT")</f>
        <v>4</v>
      </c>
      <c r="F13">
        <v>4.22</v>
      </c>
      <c r="G13">
        <f>SUMIF(B2:B11,"IT",D2:D11)</f>
        <v>195000</v>
      </c>
    </row>
    <row r="14" spans="1:17" x14ac:dyDescent="0.25">
      <c r="C14">
        <v>3.14</v>
      </c>
      <c r="D14">
        <f>COUNTIF(C2:C11,"&gt;=80")</f>
        <v>4</v>
      </c>
      <c r="F14">
        <v>4.2300000000000004</v>
      </c>
      <c r="G14">
        <f>SUMIF(B2:B11,"HR",D2:D11)</f>
        <v>119000</v>
      </c>
    </row>
    <row r="15" spans="1:17" x14ac:dyDescent="0.25">
      <c r="C15">
        <v>3.15</v>
      </c>
      <c r="D15">
        <f>COUNTIF(D2:D11,"&gt;=40000")</f>
        <v>7</v>
      </c>
      <c r="F15">
        <v>4.24</v>
      </c>
      <c r="G15">
        <f>SUMIF(B2:B11,"Sales",D2:D11)</f>
        <v>132000</v>
      </c>
    </row>
    <row r="16" spans="1:17" x14ac:dyDescent="0.25">
      <c r="C16">
        <v>3.16</v>
      </c>
      <c r="D16">
        <f>COUNTIF(E2:E11,"&gt;=90%")</f>
        <v>4</v>
      </c>
      <c r="F16">
        <v>4.25</v>
      </c>
      <c r="G16">
        <f>SUMIF(C2:C11,"&gt;=80",D2:D11)</f>
        <v>203000</v>
      </c>
    </row>
    <row r="17" spans="3:7" x14ac:dyDescent="0.25">
      <c r="C17">
        <v>3.17</v>
      </c>
      <c r="D17">
        <f>COUNTIF(B2:B11,"HR")</f>
        <v>3</v>
      </c>
      <c r="F17">
        <v>4.26</v>
      </c>
      <c r="G17">
        <f>SUMIF(E2:E11,"&gt;=90%",C2:C11)</f>
        <v>359</v>
      </c>
    </row>
    <row r="18" spans="3:7" x14ac:dyDescent="0.25">
      <c r="C18">
        <v>3.18</v>
      </c>
      <c r="D18">
        <f>COUNTIF(E2:E11,"&gt;=60%")</f>
        <v>10</v>
      </c>
      <c r="F18">
        <v>4.2699999999999996</v>
      </c>
      <c r="G18">
        <f>SUMIF(D2:D11,"&gt;=40000",C2:C11)</f>
        <v>571</v>
      </c>
    </row>
    <row r="19" spans="3:7" x14ac:dyDescent="0.25">
      <c r="C19">
        <v>3.19</v>
      </c>
      <c r="D19">
        <f>COUNTIF(D2:D11,"=45000")</f>
        <v>1</v>
      </c>
      <c r="F19">
        <v>4.28</v>
      </c>
      <c r="G19">
        <f>SUMIF(B2:B11,"IT",C2:C11)</f>
        <v>323</v>
      </c>
    </row>
    <row r="20" spans="3:7" x14ac:dyDescent="0.25">
      <c r="C20">
        <v>3.2</v>
      </c>
      <c r="D20">
        <f>COUNTIF(A2:A11,"A*")</f>
        <v>2</v>
      </c>
      <c r="F20">
        <v>4.29</v>
      </c>
      <c r="G20">
        <f>SUMIF(C2:C11,"&lt;=70",D2:D11)</f>
        <v>118000</v>
      </c>
    </row>
    <row r="21" spans="3:7" x14ac:dyDescent="0.25">
      <c r="C21">
        <v>3.21</v>
      </c>
      <c r="D21">
        <f>COUNTIF(B2:B11,"&lt;&gt;Sales")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JAISHDIWAKAR</dc:creator>
  <cp:lastModifiedBy>Varun Kant Diwakar</cp:lastModifiedBy>
  <dcterms:created xsi:type="dcterms:W3CDTF">2026-08-28T12:01:47Z</dcterms:created>
  <dcterms:modified xsi:type="dcterms:W3CDTF">2026-08-28T15:16:54Z</dcterms:modified>
</cp:coreProperties>
</file>